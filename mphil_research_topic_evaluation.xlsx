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ic Evaluation" sheetId="1" state="visible" r:id="rId3"/>
    <sheet name="Scoring Rubric" sheetId="2" state="visible" r:id="rId4"/>
    <sheet name="Evidence Log" sheetId="3" state="visible" r:id="rId5"/>
  </sheets>
  <definedNames>
    <definedName function="false" hidden="true" localSheetId="2" name="_xlnm._FilterDatabase" vbProcedure="false">'Evidence Log'!$A$4:$G$34</definedName>
    <definedName function="false" hidden="false" localSheetId="0" name="_xlnm.Print_Titles" vbProcedure="false">'Topic Evaluation'!$1:$4</definedName>
    <definedName function="false" hidden="true" localSheetId="0" name="_xlnm._FilterDatabase" vbProcedure="false">'Topic Evaluation'!$A$4:$N$18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<sst xmlns="http://schemas.openxmlformats.org/spreadsheetml/2006/main" count="532" uniqueCount="268">
  <si>
    <t xml:space="preserve">MPhil Research Topic Evaluation Matrix</t>
  </si>
  <si>
    <t xml:space="preserve">Score each criterion from 1–5 using the rubric. Leave a score blank when evidence is insufficient; the final score remains blank until all seven criteria are scored.</t>
  </si>
  <si>
    <t xml:space="preserve">Research Topic</t>
  </si>
  <si>
    <t xml:space="preserve">Primary Objective</t>
  </si>
  <si>
    <t xml:space="preserve">C1 Significance
15%</t>
  </si>
  <si>
    <t xml:space="preserve">C2 Novelty
20%</t>
  </si>
  <si>
    <t xml:space="preserve">C3 Feasibility
20%</t>
  </si>
  <si>
    <t xml:space="preserve">C4 Experimental Rigor
15%</t>
  </si>
  <si>
    <t xml:space="preserve">C5 Practical Impact
10%</t>
  </si>
  <si>
    <t xml:space="preserve">C6 Career Alignment
10%</t>
  </si>
  <si>
    <t xml:space="preserve">C7 Lab Fit
10%</t>
  </si>
  <si>
    <t xml:space="preserve">Final Score
/100</t>
  </si>
  <si>
    <t xml:space="preserve">Classification</t>
  </si>
  <si>
    <t xml:space="preserve">Decision</t>
  </si>
  <si>
    <t xml:space="preserve">Notes / Evidence</t>
  </si>
  <si>
    <t xml:space="preserve">Next Action</t>
  </si>
  <si>
    <t xml:space="preserve">Adaptive inference for autonomous systems</t>
  </si>
  <si>
    <t xml:space="preserve">Adapt inference decisions to uncertainty and resource constraints.</t>
  </si>
  <si>
    <t xml:space="preserve">Umbrella area: too broad to carry a single novelty claim, so not scored (NE). Evaluated through concrete candidates T-A, T-C, T-D below. Original note: Validate the research gap and target task.</t>
  </si>
  <si>
    <t xml:space="preserve">Read full texts of E01, E15, E29 (see evidence-register.md).</t>
  </si>
  <si>
    <t xml:space="preserve">Resource-aware reinforcement learning</t>
  </si>
  <si>
    <t xml:space="preserve">Learn policies that trade off task performance against resource budgets.</t>
  </si>
  <si>
    <t xml:space="preserve">Umbrella area: too broad to carry a single novelty claim, so not scored (NE). Evaluated through concrete candidates T-A, T-F below. Original note: Assess training and evaluation burden.</t>
  </si>
  <si>
    <t xml:space="preserve">Run T-A minimum viable experiment (fixed S/M/L SAC, zero vs measured delay).</t>
  </si>
  <si>
    <t xml:space="preserve">Adaptive edge intelligence</t>
  </si>
  <si>
    <t xml:space="preserve">Select inference strategies dynamically as device conditions change.</t>
  </si>
  <si>
    <t xml:space="preserve">Umbrella area: too broad to carry a single novelty claim, so not scored (NE). Evaluated through concrete candidates T-E, T-G, T-I below. Original note: Establish distinction from existing methods.</t>
  </si>
  <si>
    <t xml:space="preserve">Check code availability for QUTE/SNAP-UQ/TCUQ (T-E).</t>
  </si>
  <si>
    <t xml:space="preserve">Learning under uncertainty</t>
  </si>
  <si>
    <t xml:space="preserve">Improve decisions with incomplete observations or changing environments.</t>
  </si>
  <si>
    <t xml:space="preserve">Umbrella area: too broad to carry a single novelty claim, so not scored (NE). Evaluated through concrete candidates T-D, T-E, T-G below. Original note: Narrow the problem and confirm supervision.</t>
  </si>
  <si>
    <t xml:space="preserve">Discuss T-D as fallback to T-A with supervisor.</t>
  </si>
  <si>
    <t xml:space="preserve">T-A (Rank 1) Delay-consistent adaptive computation for real-time RL control</t>
  </si>
  <si>
    <t xml:space="preserve">Test whether a state-dependent compute (early-exit) policy trained under hardware-measured, compute-induced delay beats the best fixed-size delay-aware policy on the return-energy frontier.</t>
  </si>
  <si>
    <t xml:space="preserve">Gap: efficient-policy work (BEXA E01, QuaRL E22, Kresse E20) evaluates with instantaneous inference; delayed-RL work (E02-E05) treats delay as exogenous. Latency harms control on embedded HW (E06-E09). Riemer et al. (E03): state-adaptive compute time uncommon. Novelty provisional until BEXA/DeeR-VLA/ARLI full texts are read.</t>
  </si>
  <si>
    <t xml:space="preserve">Month 1: full-text novelty memo; month 2: minimum experiment and decision point D1 (see report D.1).</t>
  </si>
  <si>
    <t xml:space="preserve">T-B (Rank 2) Instrument-in-the-loop feedback for LLM firmware agents</t>
  </si>
  <si>
    <t xml:space="preserve">Measure whether decoded logic-analyzer/timing traces raise behavior-correct repair rates of LLM firmware agents versus compiler+serial feedback, by fault class.</t>
  </si>
  <si>
    <t xml:space="preserve">IoT-SkillsBench (E43) and EmbedBench (E44, ICSE 2026) show compile-vs-behavior gap; feedback in benchmarks is compiler/serial/docs. Vendors ship agent-instrument links (E46, E47) without independent evaluation. Fast-moving field. Ranked above T-C by tie-break (novelty+feasibility 7 vs 6).</t>
  </si>
  <si>
    <t xml:space="preserve">Read E43/E44 in full; check task/harness release; build sigrok capture pipeline.</t>
  </si>
  <si>
    <t xml:space="preserve">T-C (Rank 3) Perturbation robustness of quantized and pruned VLA policies</t>
  </si>
  <si>
    <t xml:space="preserve">Determine whether compression-induced success loss is larger under LIBERO-Plus perturbations than on nominal LIBERO, per axis, and whether nominal diagnostics predict it.</t>
  </si>
  <si>
    <t xml:space="preserve">VLA quantization papers report nominal success (E29-E35); LIBERO-Plus shows 95%-&gt;below 30% fragility (E27). VLAQuantBench (E29, Sep 2026) is the closest competitor; VLM analogue exists (E37). Token pruning can improve OOD (E38) - conflicting evidence. GPU-heavy.</t>
  </si>
  <si>
    <t xml:space="preserve">Read VLAQuantBench full text (week 1); confirm GPU allocation.</t>
  </si>
  <si>
    <t xml:space="preserve">T-D (Rank 4) State-dependent planning budgets for TD-MPC2</t>
  </si>
  <si>
    <t xml:space="preserve">Allocate MPPI iterations per state to keep fixed-budget return at lower mean/p99 planning compute and latency.</t>
  </si>
  <si>
    <t xml:space="preserve">TD-MPC fixed iterations; 50% cut without loss (E49); TD-MPC2 checkpoints (E50). Prior art: metacontrol (E51), AOP (E52), adaptive RL-MPC (E53); uncertainty may be a poor signal (E54).</t>
  </si>
  <si>
    <t xml:space="preserve">Check TD-MPC2 checkpoint licence; search TD-MPC2 follow-ups.</t>
  </si>
  <si>
    <t xml:space="preserve">T-E (Rank 5) Independent benchmark of label-free TinyML uncertainty monitors</t>
  </si>
  <si>
    <t xml:space="preserve">Test whether QUTE, SNAP-UQ and TCUQ gains hold on common MCUs, tasks and drift protocols.</t>
  </si>
  <si>
    <t xml:space="preserve">QUTE (E56, ICML 2025), SNAP-UQ (E57, ICLR 2026), TCUQ (E58, preprint) self-report gains; no independent cross-comparison found. Benchmark-type contribution.</t>
  </si>
  <si>
    <t xml:space="preserve">Check repositories; email authors for code.</t>
  </si>
  <si>
    <t xml:space="preserve">T-F (Rank 6, gate failed) Low-bit quantized control policies under sim-to-real stressors</t>
  </si>
  <si>
    <t xml:space="preserve">Test whether QAT integer policies are more robust to dynamics shift and delay, not only input noise.</t>
  </si>
  <si>
    <t xml:space="preserve">Kresse &amp; Lampert (E20) show input-noise robustness and hypothesise real-world robustness; public quant-control-bench card (E26) already sweeps friction/noise at nine precisions; SQIL (E25). Novelty gate failed.</t>
  </si>
  <si>
    <t xml:space="preserve">Fold into T-A as the INT8 baseline; do not pursue standalone.</t>
  </si>
  <si>
    <t xml:space="preserve">T-G (Rank 7=, gate failed) Risk-controlled early exiting under realistic drift</t>
  </si>
  <si>
    <t xml:space="preserve">Test whether risk-controlled exit rules keep guarantees under temporal sensor drift.</t>
  </si>
  <si>
    <t xml:space="preserve">UAT (E63, NeurIPS 2025) already adapts exit thresholds online with risk guarantees under shift; Jazbec et al. (E62); SAFE-KD (E64); PromptShift-CRC (E67). Novelty gate failed.</t>
  </si>
  <si>
    <t xml:space="preserve">Drop.</t>
  </si>
  <si>
    <t xml:space="preserve">T-H (Rank 7=, gate failed) Sensor-failure-robust on-device activity recognition</t>
  </si>
  <si>
    <t xml:space="preserve">Single compact model degrading gracefully under missing sensors within an MCU memory budget.</t>
  </si>
  <si>
    <t xml:space="preserve">Crowded: Mamun et al. EMBC 2022 (E68), LSM-2 (E69), missing-modality survey (E70), E71. Novelty gate failed.</t>
  </si>
  <si>
    <t xml:space="preserve">T-I (Unscored) Joint RL sensing and multi-exit intermittent inference on energy-harvesting nodes</t>
  </si>
  <si>
    <t xml:space="preserve">One RL controller jointly scheduling sensing and exit depth under harvested energy.</t>
  </si>
  <si>
    <t xml:space="preserve">Novelty NE: systems venues (SenSys/IPSN/MobiSys) not searched adequately; prior art Zygarde (E72), multi-exit intermittent inference (E73), RL sampling (E74). Even at novelty 4 the total would be 62 (&lt;65), so reject/redesign regardless.</t>
  </si>
  <si>
    <t xml:space="preserve">Only revisit if supervisor is an intermittent-computing specialist.</t>
  </si>
  <si>
    <t xml:space="preserve">Scoring Rubric and Decision Rules</t>
  </si>
  <si>
    <t xml:space="preserve">Criterion</t>
  </si>
  <si>
    <t xml:space="preserve">Weight</t>
  </si>
  <si>
    <t xml:space="preserve">Score 1</t>
  </si>
  <si>
    <t xml:space="preserve">Score 3</t>
  </si>
  <si>
    <t xml:space="preserve">Score 5</t>
  </si>
  <si>
    <t xml:space="preserve">Problem significance</t>
  </si>
  <si>
    <t xml:space="preserve">15%</t>
  </si>
  <si>
    <t xml:space="preserve">Trivial or poorly motivated problem</t>
  </si>
  <si>
    <t xml:space="preserve">Clear problem affecting a defined group</t>
  </si>
  <si>
    <t xml:space="preserve">Important, well-evidenced problem with substantial consequences</t>
  </si>
  <si>
    <t xml:space="preserve">Research novelty</t>
  </si>
  <si>
    <t xml:space="preserve">20%</t>
  </si>
  <si>
    <t xml:space="preserve">No identifiable contribution</t>
  </si>
  <si>
    <t xml:space="preserve">Plausible gap, incompletely established</t>
  </si>
  <si>
    <t xml:space="preserve">Specific contribution strongly supported by a systematic literature review</t>
  </si>
  <si>
    <t xml:space="preserve">Feasibility</t>
  </si>
  <si>
    <t xml:space="preserve">Critical resources unavailable</t>
  </si>
  <si>
    <t xml:space="preserve">Achievable with manageable risks</t>
  </si>
  <si>
    <t xml:space="preserve">Core experiments and fallback plan feasible with confirmed resources</t>
  </si>
  <si>
    <t xml:space="preserve">Experimental rigor</t>
  </si>
  <si>
    <t xml:space="preserve">No meaningful test or baseline</t>
  </si>
  <si>
    <t xml:space="preserve">Measurable evaluation with credible baselines</t>
  </si>
  <si>
    <t xml:space="preserve">Strong comparisons, suitable metrics, reproducibility and statistical analysis</t>
  </si>
  <si>
    <t xml:space="preserve">Practical impact</t>
  </si>
  <si>
    <t xml:space="preserve">10%</t>
  </si>
  <si>
    <t xml:space="preserve">No clear beneficiary or use</t>
  </si>
  <si>
    <t xml:space="preserve">Plausible application</t>
  </si>
  <si>
    <t xml:space="preserve">Clear beneficiary, actionable output and credible adoption pathway</t>
  </si>
  <si>
    <t xml:space="preserve">Career alignment</t>
  </si>
  <si>
    <t xml:space="preserve">Little transferable value</t>
  </si>
  <si>
    <t xml:space="preserve">Useful but indirect skill development</t>
  </si>
  <si>
    <t xml:space="preserve">Strongly develops skills needed for intended trajectory</t>
  </si>
  <si>
    <t xml:space="preserve">Research environment fit</t>
  </si>
  <si>
    <t xml:space="preserve">No suitable supervision or support</t>
  </si>
  <si>
    <t xml:space="preserve">Partial expertise and adequate infrastructure</t>
  </si>
  <si>
    <t xml:space="preserve">Strong supervisory expertise and confirmed support</t>
  </si>
  <si>
    <t xml:space="preserve">General score anchors</t>
  </si>
  <si>
    <t xml:space="preserve">Very poor</t>
  </si>
  <si>
    <t xml:space="preserve">No convincing evidence; major deficiencies make success unlikely.</t>
  </si>
  <si>
    <t xml:space="preserve">Poor</t>
  </si>
  <si>
    <t xml:space="preserve">Significant weaknesses; success depends on resolving substantial uncertainties.</t>
  </si>
  <si>
    <t xml:space="preserve">Acceptable</t>
  </si>
  <si>
    <t xml:space="preserve">Plausible and adequately supported, but with identifiable weaknesses.</t>
  </si>
  <si>
    <t xml:space="preserve">Strong</t>
  </si>
  <si>
    <t xml:space="preserve">Good supporting evidence, manageable risks and a credible path to success.</t>
  </si>
  <si>
    <t xml:space="preserve">Excellent</t>
  </si>
  <si>
    <t xml:space="preserve">Strong evidence, clear advantages and few material weaknesses.</t>
  </si>
  <si>
    <t xml:space="preserve">Final score formula</t>
  </si>
  <si>
    <t xml:space="preserve">Final score = SUMPRODUCT(criteria scores, criterion weights) / 5. Weights: 15, 20, 20, 15, 10, 10, 10. A score is calculated only when all seven criteria have been evaluated.</t>
  </si>
  <si>
    <t xml:space="preserve">Classification thresholds</t>
  </si>
  <si>
    <t xml:space="preserve">Score range</t>
  </si>
  <si>
    <t xml:space="preserve">Recommended action</t>
  </si>
  <si>
    <t xml:space="preserve">85–100</t>
  </si>
  <si>
    <t xml:space="preserve">Excellent candidate</t>
  </si>
  <si>
    <t xml:space="preserve">Prioritize for proposal development</t>
  </si>
  <si>
    <t xml:space="preserve">75–84.9</t>
  </si>
  <si>
    <t xml:space="preserve">Strong candidate</t>
  </si>
  <si>
    <t xml:space="preserve">Shortlist and investigate uncertainties</t>
  </si>
  <si>
    <t xml:space="preserve">65–74.9</t>
  </si>
  <si>
    <t xml:space="preserve">Conditional candidate</t>
  </si>
  <si>
    <t xml:space="preserve">Refine topic or address weaknesses</t>
  </si>
  <si>
    <t xml:space="preserve">Below 65</t>
  </si>
  <si>
    <t xml:space="preserve">Weak candidate</t>
  </si>
  <si>
    <t xml:space="preserve">Reject or substantially redesign</t>
  </si>
  <si>
    <t xml:space="preserve">Mandatory gates</t>
  </si>
  <si>
    <t xml:space="preserve">• Novelty gate: Do not approve until a defensible research gap is established.</t>
  </si>
  <si>
    <t xml:space="preserve">• Feasibility gate: A score below 3 requires a mitigation plan before approval.</t>
  </si>
  <si>
    <t xml:space="preserve">• Rigor gate: A score below 3 means the objective or methodology needs redesign.</t>
  </si>
  <si>
    <t xml:space="preserve">• Evidence gate: If any score is missing, the final score is not calculated.</t>
  </si>
  <si>
    <t xml:space="preserve">• Tie-breaker: Prefer higher combined novelty and feasibility; if tied, prefer stronger experimental rigor.</t>
  </si>
  <si>
    <t xml:space="preserve">Evidence Log</t>
  </si>
  <si>
    <t xml:space="preserve">Record the rationale and evidence behind each score to make topic comparisons auditable and repeatable.</t>
  </si>
  <si>
    <t xml:space="preserve">Score (1–5 / NE)</t>
  </si>
  <si>
    <t xml:space="preserve">Evidence / Source</t>
  </si>
  <si>
    <t xml:space="preserve">Justification</t>
  </si>
  <si>
    <t xml:space="preserve">Uncertainty / Risk</t>
  </si>
  <si>
    <t xml:space="preserve">Next Action / Review Date</t>
  </si>
  <si>
    <t xml:space="preserve">C1 Significance</t>
  </si>
  <si>
    <t xml:space="preserve">E06 Air Learning (Mach. Learn. 2021); E07 OmniReset (ICLR 2026); E08 Liu et al. arXiv:2512.24740; E09 arXiv:2607.26434; E10 Cervin et al. 2003 (IDs refer to report/evidence-register.md)</t>
  </si>
  <si>
    <t xml:space="preserve">Onboard latency measurably degrades learned control (Raspberry Pi flight; 60 ms jitter; &gt;50 ms delay on low-cost quadruped); MCU compute caps update rate.</t>
  </si>
  <si>
    <t xml:space="preserve">Some numbers from secondary summaries (V3).</t>
  </si>
  <si>
    <t xml:space="preserve">Review by 2026-11-17</t>
  </si>
  <si>
    <t xml:space="preserve">C2 Novelty</t>
  </si>
  <si>
    <t xml:space="preserve">E01 BEXA (ICML 2026); E02 Anokhin et al. (ICLR 2025); E03 Riemer et al. (ICLR 2025); E15 DeeR-VLA; E16 ARLI</t>
  </si>
  <si>
    <t xml:space="preserve">No paper found where the compute choice sets the delay seen by the dynamics; E03 states state-adaptive compute time is uncommon.</t>
  </si>
  <si>
    <t xml:space="preserve">Full texts unread; BEXA or DeeR-VLA may model latency. Score drops to 3 if so.</t>
  </si>
  <si>
    <t xml:space="preserve">C3 Feasibility</t>
  </si>
  <si>
    <t xml:space="preserve">Simulators (MuJoCo/Gymnasium), SB3/CleanRL, TFLite-Micro/CMSIS-NN; ~$50-150 boards</t>
  </si>
  <si>
    <t xml:space="preserve">No data collection or robot needed; ~1,000-2,500 compute-hours (assumption).</t>
  </si>
  <si>
    <t xml:space="preserve">Gate training instability; compute volume.</t>
  </si>
  <si>
    <t xml:space="preserve">C4 Experimental Rigor</t>
  </si>
  <si>
    <t xml:space="preserve">E19 rliable (NeurIPS 2021); baselines E01, E04, E05, E11, E12, E20, E22</t>
  </si>
  <si>
    <t xml:space="preserve">Strong baselines, 10 seeds, IQM + bootstrap CIs, explicit falsification of H1/H2.</t>
  </si>
  <si>
    <t xml:space="preserve">BEXA code availability unknown (may need reimplementation).</t>
  </si>
  <si>
    <t xml:space="preserve">C5 Practical Impact</t>
  </si>
  <si>
    <t xml:space="preserve">E06, E08 (drones, micro-robots)</t>
  </si>
  <si>
    <t xml:space="preserve">Clear beneficiaries: anyone deploying learned controllers on MCUs/SBCs.</t>
  </si>
  <si>
    <t xml:space="preserve">Adoption depends on effect size found in month 2.</t>
  </si>
  <si>
    <t xml:space="preserve">C6 Career Alignment</t>
  </si>
  <si>
    <t xml:space="preserve">Researcher profile</t>
  </si>
  <si>
    <t xml:space="preserve">RL + real-time systems + edge deployment + robotics in one project.</t>
  </si>
  <si>
    <t xml:space="preserve">None material.</t>
  </si>
  <si>
    <t xml:space="preserve">C7 Lab Fit</t>
  </si>
  <si>
    <t xml:space="preserve">Not confirmed</t>
  </si>
  <si>
    <t xml:space="preserve">GPUs confirmed; RL/control supervision and boards unconfirmed -&gt; 3.</t>
  </si>
  <si>
    <t xml:space="preserve">Changes with supervisor confirmation.</t>
  </si>
  <si>
    <t xml:space="preserve">E43 IoT-SkillsBench (arXiv 2026); E44 EmbedBench (ICSE 2026); E45 Englhardt et al. (IDs refer to report/evidence-register.md)</t>
  </si>
  <si>
    <t xml:space="preserve">Compile-vs-behavior gap documented; ESP-IDF migration best 29.4% (E44).</t>
  </si>
  <si>
    <t xml:space="preserve">Benchmarks evolve quickly.</t>
  </si>
  <si>
    <t xml:space="preserve">E43, E44, E46 Saleae MCP, E47 Embedder/SEGGER</t>
  </si>
  <si>
    <t xml:space="preserve">No controlled study of instrument-trace feedback found; vendors ship it without evaluation.</t>
  </si>
  <si>
    <t xml:space="preserve">One search family; high churn; pre-emption plausible.</t>
  </si>
  <si>
    <t xml:space="preserve">Boards + sigrok analyzers ~$150-300; API ~$300-1,500 (assumption); local open models on lab GPUs</t>
  </si>
  <si>
    <t xml:space="preserve">Cheap, no ethics approval; MVE in month 2.</t>
  </si>
  <si>
    <t xml:space="preserve">Oracle engineering effort.</t>
  </si>
  <si>
    <t xml:space="preserve">Mixed-effects logistic regression; 5 repeats; oracle audit</t>
  </si>
  <si>
    <t xml:space="preserve">Measurable, but LLM nondeterminism and model churn limit durability -&gt; 3.</t>
  </si>
  <si>
    <t xml:space="preserve">Pinned versions mitigate partially.</t>
  </si>
  <si>
    <t xml:space="preserve">E46, E47 (industry demand)</t>
  </si>
  <si>
    <t xml:space="preserve">Direct developer-tooling beneficiary.</t>
  </si>
  <si>
    <t xml:space="preserve">-</t>
  </si>
  <si>
    <t xml:space="preserve">Strong AI-engineering/agents value; less RL/robotics -&gt; 4.</t>
  </si>
  <si>
    <t xml:space="preserve">Needs SE/embedded supervision -&gt; 3.</t>
  </si>
  <si>
    <t xml:space="preserve">E27 LIBERO-Plus (CVPR 2026); E28 LIBERO-PRO; E29-E35 (IDs refer to report/evidence-register.md)</t>
  </si>
  <si>
    <t xml:space="preserve">VLAs brittle under modest perturbations; compression evaluated only nominally.</t>
  </si>
  <si>
    <t xml:space="preserve">E29 VLAQuantBench; E37 Bouguerra et al. (ICML 2026); E38 GridS; E39 RLRC</t>
  </si>
  <si>
    <t xml:space="preserve">No compressed-VLA perturbation study found; VLM analogue exists; conflicting pruning evidence.</t>
  </si>
  <si>
    <t xml:space="preserve">High pre-emption risk; VLAQuantBench full text unread.</t>
  </si>
  <si>
    <t xml:space="preserve">~300-600 GPU-hours (assumption); openpi/LeRobot integrations</t>
  </si>
  <si>
    <t xml:space="preserve">Feasible only with confirmed GPU access -&gt; 3.</t>
  </si>
  <si>
    <t xml:space="preserve">GPU queue; codebase friction.</t>
  </si>
  <si>
    <t xml:space="preserve">Paired episodes; McNemar; mixed-effects; E40 paired-evaluation methodology</t>
  </si>
  <si>
    <t xml:space="preserve">Paired design gives strong rigor.</t>
  </si>
  <si>
    <t xml:space="preserve">Edge deployment of robot foundation models</t>
  </si>
  <si>
    <t xml:space="preserve">Clear deployment decision value.</t>
  </si>
  <si>
    <t xml:space="preserve">Robot foundation models - very high market value.</t>
  </si>
  <si>
    <t xml:space="preserve">GPUs confirmed; VLA expertise not confirmed</t>
  </si>
  <si>
    <t xml:space="preserve">3.</t>
  </si>
  <si>
    <t xml:space="preserve">E49 TD-MPC; E50 TD-MPC2 (IDs refer to report/evidence-register.md)</t>
  </si>
  <si>
    <t xml:space="preserve">Planning cost is significant but tolerates cuts; matters for real-time.</t>
  </si>
  <si>
    <t xml:space="preserve">E51 Metacontrol (ICLR 2017); E52 AOP; E53; E54</t>
  </si>
  <si>
    <t xml:space="preserve">Partly anticipated; modern latent-MPC + latency angle is open.</t>
  </si>
  <si>
    <t xml:space="preserve">Incremental risk.</t>
  </si>
  <si>
    <t xml:space="preserve">Released TD-MPC2 checkpoints</t>
  </si>
  <si>
    <t xml:space="preserve">No world-model training needed for core study.</t>
  </si>
  <si>
    <t xml:space="preserve">Checkpoint licence to confirm.</t>
  </si>
  <si>
    <t xml:space="preserve">E19; fixed-budget sweep baselines</t>
  </si>
  <si>
    <t xml:space="preserve">Clear compute-return frontiers.</t>
  </si>
  <si>
    <t xml:space="preserve">Moderate practical value.</t>
  </si>
  <si>
    <t xml:space="preserve">Model-based RL skills.</t>
  </si>
  <si>
    <t xml:space="preserve">E56-E59 (IDs refer to report/evidence-register.md)</t>
  </si>
  <si>
    <t xml:space="preserve">Unlabelled deployed TinyML needs monitoring.</t>
  </si>
  <si>
    <t xml:space="preserve">E56-E59</t>
  </si>
  <si>
    <t xml:space="preserve">No independent cross-comparison found; benchmark-type novelty.</t>
  </si>
  <si>
    <t xml:space="preserve">Replication framed as incremental by some reviewers.</t>
  </si>
  <si>
    <t xml:space="preserve">MCUs; MLPerf-Tiny-style tasks</t>
  </si>
  <si>
    <t xml:space="preserve">Feasible; code availability unknown -&gt; 4.</t>
  </si>
  <si>
    <t xml:space="preserve">Reimplementation fidelity.</t>
  </si>
  <si>
    <t xml:space="preserve">Pre-registered protocol, 5 seeds, energy measurement</t>
  </si>
  <si>
    <t xml:space="preserve">Good rigor.</t>
  </si>
  <si>
    <t xml:space="preserve">Moderate.</t>
  </si>
  <si>
    <t xml:space="preserve">Edge ML systems skills; narrower.</t>
  </si>
  <si>
    <t xml:space="preserve">E20, E22, E08 (IDs refer to report/evidence-register.md)</t>
  </si>
  <si>
    <t xml:space="preserve">Quantized policies on MCUs/FPGAs are real deployments.</t>
  </si>
  <si>
    <t xml:space="preserve">No further action unless new evidence</t>
  </si>
  <si>
    <t xml:space="preserve">E20 Kresse &amp; Lampert; E26 quant-control-bench model card; E25 SQIL; E23 Bohm et al.</t>
  </si>
  <si>
    <t xml:space="preserve">Core robustness question largely answered or in progress -&gt; 2. GATE FAILED.</t>
  </si>
  <si>
    <t xml:space="preserve">E26 is a non-peer-reviewed artifact (V3).</t>
  </si>
  <si>
    <t xml:space="preserve">Simulation only</t>
  </si>
  <si>
    <t xml:space="preserve">Very feasible.</t>
  </si>
  <si>
    <t xml:space="preserve">E19</t>
  </si>
  <si>
    <t xml:space="preserve">Straightforward sweeps with seeds.</t>
  </si>
  <si>
    <t xml:space="preserve">RL + edge.</t>
  </si>
  <si>
    <t xml:space="preserve">E66, E62 (IDs refer to report/evidence-register.md)</t>
  </si>
  <si>
    <t xml:space="preserve">Exit decisions become premature under shift.</t>
  </si>
  <si>
    <t xml:space="preserve">E63 UAT (NeurIPS 2025); E64 SAFE-KD; E67</t>
  </si>
  <si>
    <t xml:space="preserve">Online threshold adaptation with risk guarantees under shift already published -&gt; 2. GATE FAILED.</t>
  </si>
  <si>
    <t xml:space="preserve">Public datasets</t>
  </si>
  <si>
    <t xml:space="preserve">Standard corruption benchmarks</t>
  </si>
  <si>
    <t xml:space="preserve">Good rigor possible.</t>
  </si>
  <si>
    <t xml:space="preserve">Uncertainty/edge skills.</t>
  </si>
  <si>
    <t xml:space="preserve">E68, E70 (IDs refer to report/evidence-register.md)</t>
  </si>
  <si>
    <t xml:space="preserve">Sensor dropout is a real wearable problem.</t>
  </si>
  <si>
    <t xml:space="preserve">E68-E71</t>
  </si>
  <si>
    <t xml:space="preserve">Crowded -&gt; 2. GATE FAILED.</t>
  </si>
  <si>
    <t xml:space="preserve">Public HAR datasets</t>
  </si>
  <si>
    <t xml:space="preserve">Standard protocols</t>
  </si>
  <si>
    <t xml:space="preserve">Edge ML; less aligned.</t>
  </si>
  <si>
    <t xml:space="preserve">E72-E74 (IDs refer to report/evidence-register.md)</t>
  </si>
  <si>
    <t xml:space="preserve">Batteryless sensing is a real constraint.</t>
  </si>
  <si>
    <t xml:space="preserve">NE</t>
  </si>
  <si>
    <t xml:space="preserve">E72-E74; systems venues not searched</t>
  </si>
  <si>
    <t xml:space="preserve">NE - insufficient evidence; final score not computed.</t>
  </si>
  <si>
    <t xml:space="preserve">Search SenSys/IPSN/MobiSys before scoring.</t>
  </si>
  <si>
    <t xml:space="preserve">Energy traces + MSP430-class HW or simulation</t>
  </si>
  <si>
    <t xml:space="preserve">Intermittent-computing debugging is hard -&gt; 3.</t>
  </si>
  <si>
    <t xml:space="preserve">Trace-driven simulation</t>
  </si>
  <si>
    <t xml:space="preserve">IoT systems; less ML-heavy.</t>
  </si>
  <si>
    <t xml:space="preserve">Specialist supervision needed</t>
  </si>
  <si>
    <t xml:space="preserve">2.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</si>
</sst>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Display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17365D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3F6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CEEC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9DFCC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FEFCF"/>
          <bgColor rgb="FF000000"/>
        </patternFill>
      </fill>
    </dxf>
    <dxf>
      <fill>
        <patternFill patternType="solid">
          <fgColor rgb="FFF8F1CD"/>
          <bgColor rgb="FF000000"/>
        </patternFill>
      </fill>
    </dxf>
    <dxf>
      <fill>
        <patternFill patternType="solid">
          <fgColor rgb="FFF9F1CD"/>
          <bgColor rgb="FF000000"/>
        </patternFill>
      </fill>
    </dxf>
    <dxf>
      <fill>
        <patternFill patternType="solid">
          <fgColor rgb="FFFBF2CC"/>
          <bgColor rgb="FF000000"/>
        </patternFill>
      </fill>
    </dxf>
    <dxf>
      <fill>
        <patternFill patternType="solid">
          <fgColor rgb="FFFD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5" min="3" style="0" width="15"/>
    <col collapsed="false" customWidth="true" hidden="false" outlineLevel="0" max="6" min="6" style="0" width="18"/>
    <col collapsed="false" customWidth="true" hidden="false" outlineLevel="0" max="8" min="7" style="0" width="17"/>
    <col collapsed="false" customWidth="true" hidden="false" outlineLevel="0" max="10" min="9" style="0" width="14"/>
    <col collapsed="false" customWidth="true" hidden="false" outlineLevel="0" max="11" min="11" style="0" width="16"/>
    <col collapsed="false" customWidth="true" hidden="false" outlineLevel="0" max="12" min="12" style="0" width="19"/>
    <col collapsed="false" customWidth="true" hidden="false" outlineLevel="0" max="13" min="13" style="0" width="40"/>
    <col collapsed="false" customWidth="true" hidden="false" outlineLevel="0" max="14" min="14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90" hidden="false" customHeight="true" outlineLevel="0" collapsed="false">
      <c r="A5" s="4" t="s">
        <v>16</v>
      </c>
      <c r="B5" s="4" t="s">
        <v>17</v>
      </c>
      <c r="C5" s="5"/>
      <c r="D5" s="5"/>
      <c r="E5" s="5"/>
      <c r="F5" s="5"/>
      <c r="G5" s="5"/>
      <c r="H5" s="5"/>
      <c r="I5" s="5"/>
      <c r="J5" s="6" t="str">
        <f aca="false">IF(COUNT(C5:I5)=7,SUMPRODUCT(C5:I5,{15,20,20,15,10,10,10})/5,"")</f>
        <v/>
      </c>
      <c r="K5" s="5" t="str">
        <f aca="false">IF(J5="","Not evaluated",IF(J5&gt;=85,"Excellent",IF(J5&gt;=75,"Strong",IF(J5&gt;=65,"Conditional","Weak"))))</f>
        <v>Not evaluated</v>
      </c>
      <c r="L5" s="5" t="str">
        <f aca="false">IF(J5="","Pending",IF(AND(D5&gt;=3,E5&gt;=3,F5&gt;=3),IF(J5&gt;=75,"Shortlist",IF(J5&gt;=65,"Refine","Reject / redesign")),"Gate not met"))</f>
        <v>Pending</v>
      </c>
      <c r="M5" s="4" t="s">
        <v>18</v>
      </c>
      <c r="N5" s="4" t="s">
        <v>19</v>
      </c>
    </row>
    <row r="6" customFormat="false" ht="90" hidden="false" customHeight="true" outlineLevel="0" collapsed="false">
      <c r="A6" s="7" t="s">
        <v>20</v>
      </c>
      <c r="B6" s="7" t="s">
        <v>21</v>
      </c>
      <c r="C6" s="8"/>
      <c r="D6" s="8"/>
      <c r="E6" s="8"/>
      <c r="F6" s="8"/>
      <c r="G6" s="8"/>
      <c r="H6" s="8"/>
      <c r="I6" s="8"/>
      <c r="J6" s="9" t="str">
        <f aca="false">IF(COUNT(C6:I6)=7,SUMPRODUCT(C6:I6,{15,20,20,15,10,10,10})/5,"")</f>
        <v/>
      </c>
      <c r="K6" s="8" t="str">
        <f aca="false">IF(J6="","Not evaluated",IF(J6&gt;=85,"Excellent",IF(J6&gt;=75,"Strong",IF(J6&gt;=65,"Conditional","Weak"))))</f>
        <v>Not evaluated</v>
      </c>
      <c r="L6" s="8" t="str">
        <f aca="false">IF(J6="","Pending",IF(AND(D6&gt;=3,E6&gt;=3,F6&gt;=3),IF(J6&gt;=75,"Shortlist",IF(J6&gt;=65,"Refine","Reject / redesign")),"Gate not met"))</f>
        <v>Pending</v>
      </c>
      <c r="M6" s="7" t="s">
        <v>22</v>
      </c>
      <c r="N6" s="7" t="s">
        <v>23</v>
      </c>
    </row>
    <row r="7" customFormat="false" ht="90" hidden="false" customHeight="true" outlineLevel="0" collapsed="false">
      <c r="A7" s="4" t="s">
        <v>24</v>
      </c>
      <c r="B7" s="4" t="s">
        <v>25</v>
      </c>
      <c r="C7" s="5"/>
      <c r="D7" s="5"/>
      <c r="E7" s="5"/>
      <c r="F7" s="5"/>
      <c r="G7" s="5"/>
      <c r="H7" s="5"/>
      <c r="I7" s="5"/>
      <c r="J7" s="6" t="str">
        <f aca="false">IF(COUNT(C7:I7)=7,SUMPRODUCT(C7:I7,{15,20,20,15,10,10,10})/5,"")</f>
        <v/>
      </c>
      <c r="K7" s="5" t="str">
        <f aca="false">IF(J7="","Not evaluated",IF(J7&gt;=85,"Excellent",IF(J7&gt;=75,"Strong",IF(J7&gt;=65,"Conditional","Weak"))))</f>
        <v>Not evaluated</v>
      </c>
      <c r="L7" s="5" t="str">
        <f aca="false">IF(J7="","Pending",IF(AND(D7&gt;=3,E7&gt;=3,F7&gt;=3),IF(J7&gt;=75,"Shortlist",IF(J7&gt;=65,"Refine","Reject / redesign")),"Gate not met"))</f>
        <v>Pending</v>
      </c>
      <c r="M7" s="4" t="s">
        <v>26</v>
      </c>
      <c r="N7" s="4" t="s">
        <v>27</v>
      </c>
    </row>
    <row r="8" customFormat="false" ht="90" hidden="false" customHeight="true" outlineLevel="0" collapsed="false">
      <c r="A8" s="7" t="s">
        <v>28</v>
      </c>
      <c r="B8" s="7" t="s">
        <v>29</v>
      </c>
      <c r="C8" s="8"/>
      <c r="D8" s="8"/>
      <c r="E8" s="8"/>
      <c r="F8" s="8"/>
      <c r="G8" s="8"/>
      <c r="H8" s="8"/>
      <c r="I8" s="8"/>
      <c r="J8" s="9" t="str">
        <f aca="false">IF(COUNT(C8:I8)=7,SUMPRODUCT(C8:I8,{15,20,20,15,10,10,10})/5,"")</f>
        <v/>
      </c>
      <c r="K8" s="8" t="str">
        <f aca="false">IF(J8="","Not evaluated",IF(J8&gt;=85,"Excellent",IF(J8&gt;=75,"Strong",IF(J8&gt;=65,"Conditional","Weak"))))</f>
        <v>Not evaluated</v>
      </c>
      <c r="L8" s="8" t="str">
        <f aca="false">IF(J8="","Pending",IF(AND(D8&gt;=3,E8&gt;=3,F8&gt;=3),IF(J8&gt;=75,"Shortlist",IF(J8&gt;=65,"Refine","Reject / redesign")),"Gate not met"))</f>
        <v>Pending</v>
      </c>
      <c r="M8" s="7" t="s">
        <v>30</v>
      </c>
      <c r="N8" s="7" t="s">
        <v>31</v>
      </c>
    </row>
    <row r="9" customFormat="false" ht="120" hidden="false" customHeight="true" outlineLevel="0" collapsed="false">
      <c r="A9" s="4" t="s">
        <v>32</v>
      </c>
      <c r="B9" s="4" t="s">
        <v>33</v>
      </c>
      <c r="C9" s="5" t="n">
        <v>4</v>
      </c>
      <c r="D9" s="5" t="n">
        <v>4</v>
      </c>
      <c r="E9" s="5" t="n">
        <v>4</v>
      </c>
      <c r="F9" s="5" t="n">
        <v>4</v>
      </c>
      <c r="G9" s="5" t="n">
        <v>4</v>
      </c>
      <c r="H9" s="5" t="n">
        <v>5</v>
      </c>
      <c r="I9" s="5" t="n">
        <v>3</v>
      </c>
      <c r="J9" s="6" t="n">
        <f aca="false">IF(COUNT(C9:I9)=7,SUMPRODUCT(C9:I9,{15,20,20,15,10,10,10})/5,"")</f>
        <v>80</v>
      </c>
      <c r="K9" s="5" t="str">
        <f aca="false">IF(J9="","Not evaluated",IF(J9&gt;=85,"Excellent",IF(J9&gt;=75,"Strong",IF(J9&gt;=65,"Conditional","Weak"))))</f>
        <v>Strong</v>
      </c>
      <c r="L9" s="5" t="str">
        <f aca="false">IF(J9="","Pending",IF(AND(D9&gt;=3,E9&gt;=3,F9&gt;=3),IF(J9&gt;=75,"Shortlist",IF(J9&gt;=65,"Refine","Reject / redesign")),"Gate not met"))</f>
        <v>Shortlist</v>
      </c>
      <c r="M9" s="4" t="s">
        <v>34</v>
      </c>
      <c r="N9" s="4" t="s">
        <v>35</v>
      </c>
    </row>
    <row r="10" customFormat="false" ht="120" hidden="false" customHeight="true" outlineLevel="0" collapsed="false">
      <c r="A10" s="7" t="s">
        <v>36</v>
      </c>
      <c r="B10" s="7" t="s">
        <v>37</v>
      </c>
      <c r="C10" s="8" t="n">
        <v>4</v>
      </c>
      <c r="D10" s="8" t="n">
        <v>3</v>
      </c>
      <c r="E10" s="8" t="n">
        <v>4</v>
      </c>
      <c r="F10" s="8" t="n">
        <v>3</v>
      </c>
      <c r="G10" s="8" t="n">
        <v>4</v>
      </c>
      <c r="H10" s="8" t="n">
        <v>4</v>
      </c>
      <c r="I10" s="8" t="n">
        <v>3</v>
      </c>
      <c r="J10" s="9" t="n">
        <f aca="false">IF(COUNT(C10:I10)=7,SUMPRODUCT(C10:I10,{15,20,20,15,10,10,10})/5,"")</f>
        <v>71</v>
      </c>
      <c r="K10" s="8" t="str">
        <f aca="false">IF(J10="","Not evaluated",IF(J10&gt;=85,"Excellent",IF(J10&gt;=75,"Strong",IF(J10&gt;=65,"Conditional","Weak"))))</f>
        <v>Conditional</v>
      </c>
      <c r="L10" s="8" t="str">
        <f aca="false">IF(J10="","Pending",IF(AND(D10&gt;=3,E10&gt;=3,F10&gt;=3),IF(J10&gt;=75,"Shortlist",IF(J10&gt;=65,"Refine","Reject / redesign")),"Gate not met"))</f>
        <v>Refine</v>
      </c>
      <c r="M10" s="7" t="s">
        <v>38</v>
      </c>
      <c r="N10" s="7" t="s">
        <v>39</v>
      </c>
    </row>
    <row r="11" customFormat="false" ht="120" hidden="false" customHeight="true" outlineLevel="0" collapsed="false">
      <c r="A11" s="4" t="s">
        <v>40</v>
      </c>
      <c r="B11" s="4" t="s">
        <v>41</v>
      </c>
      <c r="C11" s="5" t="n">
        <v>4</v>
      </c>
      <c r="D11" s="5" t="n">
        <v>3</v>
      </c>
      <c r="E11" s="5" t="n">
        <v>3</v>
      </c>
      <c r="F11" s="5" t="n">
        <v>4</v>
      </c>
      <c r="G11" s="5" t="n">
        <v>4</v>
      </c>
      <c r="H11" s="5" t="n">
        <v>5</v>
      </c>
      <c r="I11" s="5" t="n">
        <v>3</v>
      </c>
      <c r="J11" s="6" t="n">
        <f aca="false">IF(COUNT(C11:I11)=7,SUMPRODUCT(C11:I11,{15,20,20,15,10,10,10})/5,"")</f>
        <v>72</v>
      </c>
      <c r="K11" s="5" t="str">
        <f aca="false">IF(J11="","Not evaluated",IF(J11&gt;=85,"Excellent",IF(J11&gt;=75,"Strong",IF(J11&gt;=65,"Conditional","Weak"))))</f>
        <v>Conditional</v>
      </c>
      <c r="L11" s="5" t="str">
        <f aca="false">IF(J11="","Pending",IF(AND(D11&gt;=3,E11&gt;=3,F11&gt;=3),IF(J11&gt;=75,"Shortlist",IF(J11&gt;=65,"Refine","Reject / redesign")),"Gate not met"))</f>
        <v>Refine</v>
      </c>
      <c r="M11" s="4" t="s">
        <v>42</v>
      </c>
      <c r="N11" s="4" t="s">
        <v>43</v>
      </c>
    </row>
    <row r="12" customFormat="false" ht="120" hidden="false" customHeight="true" outlineLevel="0" collapsed="false">
      <c r="A12" s="7" t="s">
        <v>44</v>
      </c>
      <c r="B12" s="7" t="s">
        <v>45</v>
      </c>
      <c r="C12" s="8" t="n">
        <v>3</v>
      </c>
      <c r="D12" s="8" t="n">
        <v>3</v>
      </c>
      <c r="E12" s="8" t="n">
        <v>4</v>
      </c>
      <c r="F12" s="8" t="n">
        <v>4</v>
      </c>
      <c r="G12" s="8" t="n">
        <v>3</v>
      </c>
      <c r="H12" s="8" t="n">
        <v>4</v>
      </c>
      <c r="I12" s="8" t="n">
        <v>3</v>
      </c>
      <c r="J12" s="9" t="n">
        <f aca="false">IF(COUNT(C12:I12)=7,SUMPRODUCT(C12:I12,{15,20,20,15,10,10,10})/5,"")</f>
        <v>69</v>
      </c>
      <c r="K12" s="8" t="str">
        <f aca="false">IF(J12="","Not evaluated",IF(J12&gt;=85,"Excellent",IF(J12&gt;=75,"Strong",IF(J12&gt;=65,"Conditional","Weak"))))</f>
        <v>Conditional</v>
      </c>
      <c r="L12" s="8" t="str">
        <f aca="false">IF(J12="","Pending",IF(AND(D12&gt;=3,E12&gt;=3,F12&gt;=3),IF(J12&gt;=75,"Shortlist",IF(J12&gt;=65,"Refine","Reject / redesign")),"Gate not met"))</f>
        <v>Refine</v>
      </c>
      <c r="M12" s="7" t="s">
        <v>46</v>
      </c>
      <c r="N12" s="7" t="s">
        <v>47</v>
      </c>
    </row>
    <row r="13" customFormat="false" ht="120" hidden="false" customHeight="true" outlineLevel="0" collapsed="false">
      <c r="A13" s="4" t="s">
        <v>48</v>
      </c>
      <c r="B13" s="4" t="s">
        <v>49</v>
      </c>
      <c r="C13" s="5" t="n">
        <v>3</v>
      </c>
      <c r="D13" s="5" t="n">
        <v>3</v>
      </c>
      <c r="E13" s="5" t="n">
        <v>4</v>
      </c>
      <c r="F13" s="5" t="n">
        <v>4</v>
      </c>
      <c r="G13" s="5" t="n">
        <v>3</v>
      </c>
      <c r="H13" s="5" t="n">
        <v>3</v>
      </c>
      <c r="I13" s="5" t="n">
        <v>3</v>
      </c>
      <c r="J13" s="6" t="n">
        <f aca="false">IF(COUNT(C13:I13)=7,SUMPRODUCT(C13:I13,{15,20,20,15,10,10,10})/5,"")</f>
        <v>67</v>
      </c>
      <c r="K13" s="5" t="str">
        <f aca="false">IF(J13="","Not evaluated",IF(J13&gt;=85,"Excellent",IF(J13&gt;=75,"Strong",IF(J13&gt;=65,"Conditional","Weak"))))</f>
        <v>Conditional</v>
      </c>
      <c r="L13" s="5" t="str">
        <f aca="false">IF(J13="","Pending",IF(AND(D13&gt;=3,E13&gt;=3,F13&gt;=3),IF(J13&gt;=75,"Shortlist",IF(J13&gt;=65,"Refine","Reject / redesign")),"Gate not met"))</f>
        <v>Refine</v>
      </c>
      <c r="M13" s="4" t="s">
        <v>50</v>
      </c>
      <c r="N13" s="4" t="s">
        <v>51</v>
      </c>
    </row>
    <row r="14" customFormat="false" ht="120" hidden="false" customHeight="true" outlineLevel="0" collapsed="false">
      <c r="A14" s="7" t="s">
        <v>52</v>
      </c>
      <c r="B14" s="7" t="s">
        <v>53</v>
      </c>
      <c r="C14" s="8" t="n">
        <v>3</v>
      </c>
      <c r="D14" s="8" t="n">
        <v>2</v>
      </c>
      <c r="E14" s="8" t="n">
        <v>5</v>
      </c>
      <c r="F14" s="8" t="n">
        <v>4</v>
      </c>
      <c r="G14" s="8" t="n">
        <v>3</v>
      </c>
      <c r="H14" s="8" t="n">
        <v>4</v>
      </c>
      <c r="I14" s="8" t="n">
        <v>3</v>
      </c>
      <c r="J14" s="9" t="n">
        <f aca="false">IF(COUNT(C14:I14)=7,SUMPRODUCT(C14:I14,{15,20,20,15,10,10,10})/5,"")</f>
        <v>69</v>
      </c>
      <c r="K14" s="8" t="str">
        <f aca="false">IF(J14="","Not evaluated",IF(J14&gt;=85,"Excellent",IF(J14&gt;=75,"Strong",IF(J14&gt;=65,"Conditional","Weak"))))</f>
        <v>Conditional</v>
      </c>
      <c r="L14" s="8" t="str">
        <f aca="false">IF(J14="","Pending",IF(AND(D14&gt;=3,E14&gt;=3,F14&gt;=3),IF(J14&gt;=75,"Shortlist",IF(J14&gt;=65,"Refine","Reject / redesign")),"Gate not met"))</f>
        <v>Gate not met</v>
      </c>
      <c r="M14" s="7" t="s">
        <v>54</v>
      </c>
      <c r="N14" s="7" t="s">
        <v>55</v>
      </c>
    </row>
    <row r="15" customFormat="false" ht="120" hidden="false" customHeight="true" outlineLevel="0" collapsed="false">
      <c r="A15" s="4" t="s">
        <v>56</v>
      </c>
      <c r="B15" s="4" t="s">
        <v>57</v>
      </c>
      <c r="C15" s="5" t="n">
        <v>3</v>
      </c>
      <c r="D15" s="5" t="n">
        <v>2</v>
      </c>
      <c r="E15" s="5" t="n">
        <v>5</v>
      </c>
      <c r="F15" s="5" t="n">
        <v>4</v>
      </c>
      <c r="G15" s="5" t="n">
        <v>3</v>
      </c>
      <c r="H15" s="5" t="n">
        <v>3</v>
      </c>
      <c r="I15" s="5" t="n">
        <v>3</v>
      </c>
      <c r="J15" s="6" t="n">
        <f aca="false">IF(COUNT(C15:I15)=7,SUMPRODUCT(C15:I15,{15,20,20,15,10,10,10})/5,"")</f>
        <v>67</v>
      </c>
      <c r="K15" s="5" t="str">
        <f aca="false">IF(J15="","Not evaluated",IF(J15&gt;=85,"Excellent",IF(J15&gt;=75,"Strong",IF(J15&gt;=65,"Conditional","Weak"))))</f>
        <v>Conditional</v>
      </c>
      <c r="L15" s="5" t="str">
        <f aca="false">IF(J15="","Pending",IF(AND(D15&gt;=3,E15&gt;=3,F15&gt;=3),IF(J15&gt;=75,"Shortlist",IF(J15&gt;=65,"Refine","Reject / redesign")),"Gate not met"))</f>
        <v>Gate not met</v>
      </c>
      <c r="M15" s="4" t="s">
        <v>58</v>
      </c>
      <c r="N15" s="4" t="s">
        <v>59</v>
      </c>
    </row>
    <row r="16" customFormat="false" ht="120" hidden="false" customHeight="true" outlineLevel="0" collapsed="false">
      <c r="A16" s="7" t="s">
        <v>60</v>
      </c>
      <c r="B16" s="7" t="s">
        <v>61</v>
      </c>
      <c r="C16" s="8" t="n">
        <v>3</v>
      </c>
      <c r="D16" s="8" t="n">
        <v>2</v>
      </c>
      <c r="E16" s="8" t="n">
        <v>5</v>
      </c>
      <c r="F16" s="8" t="n">
        <v>4</v>
      </c>
      <c r="G16" s="8" t="n">
        <v>3</v>
      </c>
      <c r="H16" s="8" t="n">
        <v>3</v>
      </c>
      <c r="I16" s="8" t="n">
        <v>3</v>
      </c>
      <c r="J16" s="9" t="n">
        <f aca="false">IF(COUNT(C16:I16)=7,SUMPRODUCT(C16:I16,{15,20,20,15,10,10,10})/5,"")</f>
        <v>67</v>
      </c>
      <c r="K16" s="8" t="str">
        <f aca="false">IF(J16="","Not evaluated",IF(J16&gt;=85,"Excellent",IF(J16&gt;=75,"Strong",IF(J16&gt;=65,"Conditional","Weak"))))</f>
        <v>Conditional</v>
      </c>
      <c r="L16" s="8" t="str">
        <f aca="false">IF(J16="","Pending",IF(AND(D16&gt;=3,E16&gt;=3,F16&gt;=3),IF(J16&gt;=75,"Shortlist",IF(J16&gt;=65,"Refine","Reject / redesign")),"Gate not met"))</f>
        <v>Gate not met</v>
      </c>
      <c r="M16" s="7" t="s">
        <v>62</v>
      </c>
      <c r="N16" s="7" t="s">
        <v>59</v>
      </c>
    </row>
    <row r="17" customFormat="false" ht="120" hidden="false" customHeight="true" outlineLevel="0" collapsed="false">
      <c r="A17" s="4" t="s">
        <v>63</v>
      </c>
      <c r="B17" s="4" t="s">
        <v>64</v>
      </c>
      <c r="C17" s="5" t="n">
        <v>3</v>
      </c>
      <c r="D17" s="5"/>
      <c r="E17" s="5" t="n">
        <v>3</v>
      </c>
      <c r="F17" s="5" t="n">
        <v>3</v>
      </c>
      <c r="G17" s="5" t="n">
        <v>3</v>
      </c>
      <c r="H17" s="5" t="n">
        <v>3</v>
      </c>
      <c r="I17" s="5" t="n">
        <v>2</v>
      </c>
      <c r="J17" s="6" t="str">
        <f aca="false">IF(COUNT(C17:I17)=7,SUMPRODUCT(C17:I17,{15,20,20,15,10,10,10})/5,"")</f>
        <v/>
      </c>
      <c r="K17" s="5" t="str">
        <f aca="false">IF(J17="","Not evaluated",IF(J17&gt;=85,"Excellent",IF(J17&gt;=75,"Strong",IF(J17&gt;=65,"Conditional","Weak"))))</f>
        <v>Not evaluated</v>
      </c>
      <c r="L17" s="5" t="str">
        <f aca="false">IF(J17="","Pending",IF(AND(D17&gt;=3,E17&gt;=3,F17&gt;=3),IF(J17&gt;=75,"Shortlist",IF(J17&gt;=65,"Refine","Reject / redesign")),"Gate not met"))</f>
        <v>Pending</v>
      </c>
      <c r="M17" s="4" t="s">
        <v>65</v>
      </c>
      <c r="N17" s="4" t="s">
        <v>66</v>
      </c>
    </row>
    <row r="18" customFormat="false" ht="51.75" hidden="false" customHeight="true" outlineLevel="0" collapsed="false">
      <c r="A18" s="7"/>
      <c r="B18" s="7"/>
      <c r="C18" s="8"/>
      <c r="D18" s="8"/>
      <c r="E18" s="8"/>
      <c r="F18" s="8"/>
      <c r="G18" s="8"/>
      <c r="H18" s="8"/>
      <c r="I18" s="8"/>
      <c r="J18" s="9" t="str">
        <f aca="false">IF(COUNT(C18:I18)=7,SUMPRODUCT(C18:I18,{15,20,20,15,10,10,10})/5,"")</f>
        <v/>
      </c>
      <c r="K18" s="8" t="str">
        <f aca="false">IF(J18="","Not evaluated",IF(J18&gt;=85,"Excellent",IF(J18&gt;=75,"Strong",IF(J18&gt;=65,"Conditional","Weak"))))</f>
        <v>Not evaluated</v>
      </c>
      <c r="L18" s="8" t="str">
        <f aca="false">IF(J18="","Pending",IF(AND(D18&gt;=3,E18&gt;=3,F18&gt;=3),IF(J18&gt;=75,"Shortlist",IF(J18&gt;=65,"Refine","Reject / redesign")),"Gate not met"))</f>
        <v>Pending</v>
      </c>
      <c r="M18" s="7"/>
      <c r="N18" s="7"/>
    </row>
  </sheetData>
  <autoFilter ref="A4:N18"/>
  <mergeCells count="2">
    <mergeCell ref="A1:N1"/>
    <mergeCell ref="A2:N2"/>
  </mergeCells>
  <conditionalFormatting sqref="C5:I18">
    <cfRule type="colorScale" priority="2">
      <colorScale>
        <cfvo type="num" val="1"/>
        <cfvo type="num" val="3"/>
        <cfvo type="num" val="5"/>
        <color rgb="FFF4CCCC"/>
        <color rgb="FFFFF2CC"/>
        <color rgb="FFD9EAD3"/>
      </colorScale>
    </cfRule>
  </conditionalFormatting>
  <conditionalFormatting sqref="J5:J18">
    <cfRule type="colorScale" priority="3">
      <colorScale>
        <cfvo type="num" val="0"/>
        <cfvo type="num" val="65"/>
        <cfvo type="num" val="100"/>
        <color rgb="FFF4CCCC"/>
        <color rgb="FFFFF2CC"/>
        <color rgb="FFD9EAD3"/>
      </colorScale>
    </cfRule>
  </conditionalFormatting>
  <dataValidations count="1">
    <dataValidation allowBlank="true" error="Enter a whole-number score from 1 to 5." errorStyle="stop" errorTitle="Invalid score" operator="between" prompt="Score from 1 (very poor) to 5 (excellent). Leave blank if not evaluated." promptTitle="Criterion score" showDropDown="false" showErrorMessage="false" showInputMessage="false" sqref="C5:I1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40"/>
    <col collapsed="false" customWidth="true" hidden="false" outlineLevel="0" max="5" min="5" style="0" width="46"/>
  </cols>
  <sheetData>
    <row r="1" customFormat="false" ht="30" hidden="false" customHeight="true" outlineLevel="0" collapsed="false">
      <c r="A1" s="10" t="s">
        <v>67</v>
      </c>
      <c r="B1" s="10"/>
      <c r="C1" s="10"/>
      <c r="D1" s="10"/>
      <c r="E1" s="10"/>
    </row>
    <row r="3" customFormat="false" ht="15" hidden="false" customHeight="false" outlineLevel="0" collapsed="false">
      <c r="A3" s="11" t="s">
        <v>68</v>
      </c>
      <c r="B3" s="11" t="s">
        <v>69</v>
      </c>
      <c r="C3" s="11" t="s">
        <v>70</v>
      </c>
      <c r="D3" s="11" t="s">
        <v>71</v>
      </c>
      <c r="E3" s="11" t="s">
        <v>72</v>
      </c>
    </row>
    <row r="4" customFormat="false" ht="57.75" hidden="false" customHeight="true" outlineLevel="0" collapsed="false">
      <c r="A4" s="7" t="s">
        <v>73</v>
      </c>
      <c r="B4" s="7" t="s">
        <v>74</v>
      </c>
      <c r="C4" s="7" t="s">
        <v>75</v>
      </c>
      <c r="D4" s="7" t="s">
        <v>76</v>
      </c>
      <c r="E4" s="7" t="s">
        <v>77</v>
      </c>
    </row>
    <row r="5" customFormat="false" ht="57.75" hidden="false" customHeight="true" outlineLevel="0" collapsed="false">
      <c r="A5" s="4" t="s">
        <v>78</v>
      </c>
      <c r="B5" s="4" t="s">
        <v>79</v>
      </c>
      <c r="C5" s="4" t="s">
        <v>80</v>
      </c>
      <c r="D5" s="4" t="s">
        <v>81</v>
      </c>
      <c r="E5" s="4" t="s">
        <v>82</v>
      </c>
    </row>
    <row r="6" customFormat="false" ht="57.75" hidden="false" customHeight="true" outlineLevel="0" collapsed="false">
      <c r="A6" s="7" t="s">
        <v>83</v>
      </c>
      <c r="B6" s="7" t="s">
        <v>79</v>
      </c>
      <c r="C6" s="7" t="s">
        <v>84</v>
      </c>
      <c r="D6" s="7" t="s">
        <v>85</v>
      </c>
      <c r="E6" s="7" t="s">
        <v>86</v>
      </c>
    </row>
    <row r="7" customFormat="false" ht="57.75" hidden="false" customHeight="true" outlineLevel="0" collapsed="false">
      <c r="A7" s="4" t="s">
        <v>87</v>
      </c>
      <c r="B7" s="4" t="s">
        <v>74</v>
      </c>
      <c r="C7" s="4" t="s">
        <v>88</v>
      </c>
      <c r="D7" s="4" t="s">
        <v>89</v>
      </c>
      <c r="E7" s="4" t="s">
        <v>90</v>
      </c>
    </row>
    <row r="8" customFormat="false" ht="57.75" hidden="false" customHeight="true" outlineLevel="0" collapsed="false">
      <c r="A8" s="7" t="s">
        <v>91</v>
      </c>
      <c r="B8" s="7" t="s">
        <v>92</v>
      </c>
      <c r="C8" s="7" t="s">
        <v>93</v>
      </c>
      <c r="D8" s="7" t="s">
        <v>94</v>
      </c>
      <c r="E8" s="7" t="s">
        <v>95</v>
      </c>
    </row>
    <row r="9" customFormat="false" ht="57.75" hidden="false" customHeight="true" outlineLevel="0" collapsed="false">
      <c r="A9" s="4" t="s">
        <v>96</v>
      </c>
      <c r="B9" s="4" t="s">
        <v>92</v>
      </c>
      <c r="C9" s="4" t="s">
        <v>97</v>
      </c>
      <c r="D9" s="4" t="s">
        <v>98</v>
      </c>
      <c r="E9" s="4" t="s">
        <v>99</v>
      </c>
    </row>
    <row r="10" customFormat="false" ht="57.75" hidden="false" customHeight="true" outlineLevel="0" collapsed="false">
      <c r="A10" s="7" t="s">
        <v>100</v>
      </c>
      <c r="B10" s="7" t="s">
        <v>92</v>
      </c>
      <c r="C10" s="7" t="s">
        <v>101</v>
      </c>
      <c r="D10" s="7" t="s">
        <v>102</v>
      </c>
      <c r="E10" s="7" t="s">
        <v>103</v>
      </c>
    </row>
    <row r="13" customFormat="false" ht="15" hidden="false" customHeight="false" outlineLevel="0" collapsed="false">
      <c r="A13" s="12" t="s">
        <v>104</v>
      </c>
    </row>
    <row r="14" customFormat="false" ht="33.75" hidden="false" customHeight="true" outlineLevel="0" collapsed="false">
      <c r="A14" s="4" t="n">
        <v>1</v>
      </c>
      <c r="B14" s="4" t="s">
        <v>105</v>
      </c>
      <c r="C14" s="4" t="s">
        <v>106</v>
      </c>
      <c r="D14" s="4"/>
      <c r="E14" s="4"/>
    </row>
    <row r="15" customFormat="false" ht="33.75" hidden="false" customHeight="true" outlineLevel="0" collapsed="false">
      <c r="A15" s="4" t="n">
        <v>2</v>
      </c>
      <c r="B15" s="4" t="s">
        <v>107</v>
      </c>
      <c r="C15" s="4" t="s">
        <v>108</v>
      </c>
      <c r="D15" s="4"/>
      <c r="E15" s="4"/>
    </row>
    <row r="16" customFormat="false" ht="33.75" hidden="false" customHeight="true" outlineLevel="0" collapsed="false">
      <c r="A16" s="4" t="n">
        <v>3</v>
      </c>
      <c r="B16" s="4" t="s">
        <v>109</v>
      </c>
      <c r="C16" s="4" t="s">
        <v>110</v>
      </c>
      <c r="D16" s="4"/>
      <c r="E16" s="4"/>
    </row>
    <row r="17" customFormat="false" ht="33.75" hidden="false" customHeight="true" outlineLevel="0" collapsed="false">
      <c r="A17" s="4" t="n">
        <v>4</v>
      </c>
      <c r="B17" s="4" t="s">
        <v>111</v>
      </c>
      <c r="C17" s="4" t="s">
        <v>112</v>
      </c>
      <c r="D17" s="4"/>
      <c r="E17" s="4"/>
    </row>
    <row r="18" customFormat="false" ht="33.75" hidden="false" customHeight="true" outlineLevel="0" collapsed="false">
      <c r="A18" s="4" t="n">
        <v>5</v>
      </c>
      <c r="B18" s="4" t="s">
        <v>113</v>
      </c>
      <c r="C18" s="4" t="s">
        <v>114</v>
      </c>
      <c r="D18" s="4"/>
      <c r="E18" s="4"/>
    </row>
    <row r="21" customFormat="false" ht="15" hidden="false" customHeight="false" outlineLevel="0" collapsed="false">
      <c r="A21" s="12" t="s">
        <v>115</v>
      </c>
    </row>
    <row r="22" customFormat="false" ht="42" hidden="false" customHeight="true" outlineLevel="0" collapsed="false">
      <c r="A22" s="13" t="s">
        <v>116</v>
      </c>
      <c r="B22" s="13"/>
      <c r="C22" s="13"/>
      <c r="D22" s="13"/>
      <c r="E22" s="13"/>
    </row>
    <row r="24" customFormat="false" ht="15" hidden="false" customHeight="false" outlineLevel="0" collapsed="false">
      <c r="A24" s="12" t="s">
        <v>117</v>
      </c>
    </row>
    <row r="25" customFormat="false" ht="15" hidden="false" customHeight="false" outlineLevel="0" collapsed="false">
      <c r="A25" s="14" t="s">
        <v>118</v>
      </c>
      <c r="B25" s="14" t="s">
        <v>12</v>
      </c>
      <c r="C25" s="14" t="s">
        <v>119</v>
      </c>
    </row>
    <row r="26" customFormat="false" ht="15" hidden="false" customHeight="false" outlineLevel="0" collapsed="false">
      <c r="A26" s="7" t="s">
        <v>120</v>
      </c>
      <c r="B26" s="7" t="s">
        <v>121</v>
      </c>
      <c r="C26" s="7" t="s">
        <v>122</v>
      </c>
    </row>
    <row r="27" customFormat="false" ht="15" hidden="false" customHeight="false" outlineLevel="0" collapsed="false">
      <c r="A27" s="4" t="s">
        <v>123</v>
      </c>
      <c r="B27" s="4" t="s">
        <v>124</v>
      </c>
      <c r="C27" s="4" t="s">
        <v>125</v>
      </c>
    </row>
    <row r="28" customFormat="false" ht="28.35" hidden="false" customHeight="false" outlineLevel="0" collapsed="false">
      <c r="A28" s="7" t="s">
        <v>126</v>
      </c>
      <c r="B28" s="7" t="s">
        <v>127</v>
      </c>
      <c r="C28" s="7" t="s">
        <v>128</v>
      </c>
    </row>
    <row r="29" customFormat="false" ht="15" hidden="false" customHeight="false" outlineLevel="0" collapsed="false">
      <c r="A29" s="4" t="s">
        <v>129</v>
      </c>
      <c r="B29" s="4" t="s">
        <v>130</v>
      </c>
      <c r="C29" s="4" t="s">
        <v>131</v>
      </c>
    </row>
    <row r="32" customFormat="false" ht="15" hidden="false" customHeight="false" outlineLevel="0" collapsed="false">
      <c r="A32" s="12" t="s">
        <v>132</v>
      </c>
    </row>
    <row r="33" customFormat="false" ht="30" hidden="false" customHeight="true" outlineLevel="0" collapsed="false">
      <c r="A33" s="13" t="s">
        <v>133</v>
      </c>
      <c r="B33" s="13"/>
      <c r="C33" s="13"/>
      <c r="D33" s="13"/>
      <c r="E33" s="13"/>
    </row>
    <row r="34" customFormat="false" ht="30" hidden="false" customHeight="true" outlineLevel="0" collapsed="false">
      <c r="A34" s="13" t="s">
        <v>134</v>
      </c>
      <c r="B34" s="13"/>
      <c r="C34" s="13"/>
      <c r="D34" s="13"/>
      <c r="E34" s="13"/>
    </row>
    <row r="35" customFormat="false" ht="30" hidden="false" customHeight="true" outlineLevel="0" collapsed="false">
      <c r="A35" s="13" t="s">
        <v>135</v>
      </c>
      <c r="B35" s="13"/>
      <c r="C35" s="13"/>
      <c r="D35" s="13"/>
      <c r="E35" s="13"/>
    </row>
    <row r="36" customFormat="false" ht="30" hidden="false" customHeight="true" outlineLevel="0" collapsed="false">
      <c r="A36" s="13" t="s">
        <v>136</v>
      </c>
      <c r="B36" s="13"/>
      <c r="C36" s="13"/>
      <c r="D36" s="13"/>
      <c r="E36" s="13"/>
    </row>
    <row r="37" customFormat="false" ht="30" hidden="false" customHeight="true" outlineLevel="0" collapsed="false">
      <c r="A37" s="13" t="s">
        <v>137</v>
      </c>
      <c r="B37" s="13"/>
      <c r="C37" s="13"/>
      <c r="D37" s="13"/>
      <c r="E37" s="13"/>
    </row>
  </sheetData>
  <mergeCells count="12">
    <mergeCell ref="A1:E1"/>
    <mergeCell ref="C14:E14"/>
    <mergeCell ref="C15:E15"/>
    <mergeCell ref="C16:E16"/>
    <mergeCell ref="C17:E17"/>
    <mergeCell ref="C18:E18"/>
    <mergeCell ref="A22:E22"/>
    <mergeCell ref="A33:E33"/>
    <mergeCell ref="A34:E34"/>
    <mergeCell ref="A35:E35"/>
    <mergeCell ref="A36:E36"/>
    <mergeCell ref="A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42"/>
    <col collapsed="false" customWidth="true" hidden="false" outlineLevel="0" max="7" min="6" style="0" width="34"/>
  </cols>
  <sheetData>
    <row r="1" customFormat="false" ht="19.7" hidden="false" customHeight="false" outlineLevel="0" collapsed="false">
      <c r="A1" s="10" t="s">
        <v>138</v>
      </c>
      <c r="B1" s="10"/>
      <c r="C1" s="10"/>
      <c r="D1" s="10"/>
      <c r="E1" s="10"/>
      <c r="F1" s="10"/>
      <c r="G1" s="10"/>
    </row>
    <row r="2" customFormat="false" ht="30" hidden="false" customHeight="true" outlineLevel="0" collapsed="false">
      <c r="A2" s="15" t="s">
        <v>139</v>
      </c>
      <c r="B2" s="15"/>
      <c r="C2" s="15"/>
      <c r="D2" s="15"/>
      <c r="E2" s="15"/>
      <c r="F2" s="15"/>
      <c r="G2" s="15"/>
    </row>
    <row r="4" customFormat="false" ht="15" hidden="false" customHeight="false" outlineLevel="0" collapsed="false">
      <c r="A4" s="11" t="s">
        <v>2</v>
      </c>
      <c r="B4" s="11" t="s">
        <v>68</v>
      </c>
      <c r="C4" s="11" t="s">
        <v>140</v>
      </c>
      <c r="D4" s="11" t="s">
        <v>141</v>
      </c>
      <c r="E4" s="11" t="s">
        <v>142</v>
      </c>
      <c r="F4" s="11" t="s">
        <v>143</v>
      </c>
      <c r="G4" s="11" t="s">
        <v>144</v>
      </c>
    </row>
    <row r="5" customFormat="false" ht="60" hidden="false" customHeight="true" outlineLevel="0" collapsed="false">
      <c r="A5" s="4" t="s">
        <v>32</v>
      </c>
      <c r="B5" s="4" t="s">
        <v>145</v>
      </c>
      <c r="C5" s="16" t="n">
        <v>4</v>
      </c>
      <c r="D5" s="4" t="s">
        <v>146</v>
      </c>
      <c r="E5" s="4" t="s">
        <v>147</v>
      </c>
      <c r="F5" s="4" t="s">
        <v>148</v>
      </c>
      <c r="G5" s="4" t="s">
        <v>149</v>
      </c>
    </row>
    <row r="6" customFormat="false" ht="60" hidden="false" customHeight="true" outlineLevel="0" collapsed="false">
      <c r="A6" s="7" t="s">
        <v>32</v>
      </c>
      <c r="B6" s="7" t="s">
        <v>150</v>
      </c>
      <c r="C6" s="17" t="n">
        <v>4</v>
      </c>
      <c r="D6" s="7" t="s">
        <v>151</v>
      </c>
      <c r="E6" s="7" t="s">
        <v>152</v>
      </c>
      <c r="F6" s="7" t="s">
        <v>153</v>
      </c>
      <c r="G6" s="7" t="s">
        <v>149</v>
      </c>
    </row>
    <row r="7" customFormat="false" ht="60" hidden="false" customHeight="true" outlineLevel="0" collapsed="false">
      <c r="A7" s="4" t="s">
        <v>32</v>
      </c>
      <c r="B7" s="4" t="s">
        <v>154</v>
      </c>
      <c r="C7" s="16" t="n">
        <v>4</v>
      </c>
      <c r="D7" s="4" t="s">
        <v>155</v>
      </c>
      <c r="E7" s="4" t="s">
        <v>156</v>
      </c>
      <c r="F7" s="4" t="s">
        <v>157</v>
      </c>
      <c r="G7" s="4" t="s">
        <v>149</v>
      </c>
    </row>
    <row r="8" customFormat="false" ht="60" hidden="false" customHeight="true" outlineLevel="0" collapsed="false">
      <c r="A8" s="7" t="s">
        <v>32</v>
      </c>
      <c r="B8" s="7" t="s">
        <v>158</v>
      </c>
      <c r="C8" s="17" t="n">
        <v>4</v>
      </c>
      <c r="D8" s="7" t="s">
        <v>159</v>
      </c>
      <c r="E8" s="7" t="s">
        <v>160</v>
      </c>
      <c r="F8" s="7" t="s">
        <v>161</v>
      </c>
      <c r="G8" s="7" t="s">
        <v>149</v>
      </c>
    </row>
    <row r="9" customFormat="false" ht="60" hidden="false" customHeight="true" outlineLevel="0" collapsed="false">
      <c r="A9" s="4" t="s">
        <v>32</v>
      </c>
      <c r="B9" s="4" t="s">
        <v>162</v>
      </c>
      <c r="C9" s="16" t="n">
        <v>4</v>
      </c>
      <c r="D9" s="4" t="s">
        <v>163</v>
      </c>
      <c r="E9" s="4" t="s">
        <v>164</v>
      </c>
      <c r="F9" s="4" t="s">
        <v>165</v>
      </c>
      <c r="G9" s="4" t="s">
        <v>149</v>
      </c>
    </row>
    <row r="10" customFormat="false" ht="60" hidden="false" customHeight="true" outlineLevel="0" collapsed="false">
      <c r="A10" s="7" t="s">
        <v>32</v>
      </c>
      <c r="B10" s="7" t="s">
        <v>166</v>
      </c>
      <c r="C10" s="17" t="n">
        <v>5</v>
      </c>
      <c r="D10" s="7" t="s">
        <v>167</v>
      </c>
      <c r="E10" s="7" t="s">
        <v>168</v>
      </c>
      <c r="F10" s="7" t="s">
        <v>169</v>
      </c>
      <c r="G10" s="7" t="s">
        <v>149</v>
      </c>
    </row>
    <row r="11" customFormat="false" ht="60" hidden="false" customHeight="true" outlineLevel="0" collapsed="false">
      <c r="A11" s="4" t="s">
        <v>32</v>
      </c>
      <c r="B11" s="4" t="s">
        <v>170</v>
      </c>
      <c r="C11" s="16" t="n">
        <v>3</v>
      </c>
      <c r="D11" s="4" t="s">
        <v>171</v>
      </c>
      <c r="E11" s="4" t="s">
        <v>172</v>
      </c>
      <c r="F11" s="4" t="s">
        <v>173</v>
      </c>
      <c r="G11" s="4" t="s">
        <v>149</v>
      </c>
    </row>
    <row r="12" customFormat="false" ht="60" hidden="false" customHeight="true" outlineLevel="0" collapsed="false">
      <c r="A12" s="7" t="s">
        <v>36</v>
      </c>
      <c r="B12" s="7" t="s">
        <v>145</v>
      </c>
      <c r="C12" s="17" t="n">
        <v>4</v>
      </c>
      <c r="D12" s="7" t="s">
        <v>174</v>
      </c>
      <c r="E12" s="7" t="s">
        <v>175</v>
      </c>
      <c r="F12" s="7" t="s">
        <v>176</v>
      </c>
      <c r="G12" s="7" t="s">
        <v>149</v>
      </c>
    </row>
    <row r="13" customFormat="false" ht="60" hidden="false" customHeight="true" outlineLevel="0" collapsed="false">
      <c r="A13" s="4" t="s">
        <v>36</v>
      </c>
      <c r="B13" s="4" t="s">
        <v>150</v>
      </c>
      <c r="C13" s="16" t="n">
        <v>3</v>
      </c>
      <c r="D13" s="4" t="s">
        <v>177</v>
      </c>
      <c r="E13" s="4" t="s">
        <v>178</v>
      </c>
      <c r="F13" s="4" t="s">
        <v>179</v>
      </c>
      <c r="G13" s="4" t="s">
        <v>149</v>
      </c>
    </row>
    <row r="14" customFormat="false" ht="60" hidden="false" customHeight="true" outlineLevel="0" collapsed="false">
      <c r="A14" s="7" t="s">
        <v>36</v>
      </c>
      <c r="B14" s="7" t="s">
        <v>154</v>
      </c>
      <c r="C14" s="17" t="n">
        <v>4</v>
      </c>
      <c r="D14" s="7" t="s">
        <v>180</v>
      </c>
      <c r="E14" s="7" t="s">
        <v>181</v>
      </c>
      <c r="F14" s="7" t="s">
        <v>182</v>
      </c>
      <c r="G14" s="7" t="s">
        <v>149</v>
      </c>
    </row>
    <row r="15" customFormat="false" ht="60" hidden="false" customHeight="true" outlineLevel="0" collapsed="false">
      <c r="A15" s="4" t="s">
        <v>36</v>
      </c>
      <c r="B15" s="4" t="s">
        <v>158</v>
      </c>
      <c r="C15" s="16" t="n">
        <v>3</v>
      </c>
      <c r="D15" s="4" t="s">
        <v>183</v>
      </c>
      <c r="E15" s="4" t="s">
        <v>184</v>
      </c>
      <c r="F15" s="4" t="s">
        <v>185</v>
      </c>
      <c r="G15" s="4" t="s">
        <v>149</v>
      </c>
    </row>
    <row r="16" customFormat="false" ht="60" hidden="false" customHeight="true" outlineLevel="0" collapsed="false">
      <c r="A16" s="7" t="s">
        <v>36</v>
      </c>
      <c r="B16" s="7" t="s">
        <v>162</v>
      </c>
      <c r="C16" s="17" t="n">
        <v>4</v>
      </c>
      <c r="D16" s="7" t="s">
        <v>186</v>
      </c>
      <c r="E16" s="7" t="s">
        <v>187</v>
      </c>
      <c r="F16" s="7" t="s">
        <v>188</v>
      </c>
      <c r="G16" s="7" t="s">
        <v>149</v>
      </c>
    </row>
    <row r="17" customFormat="false" ht="60" hidden="false" customHeight="true" outlineLevel="0" collapsed="false">
      <c r="A17" s="4" t="s">
        <v>36</v>
      </c>
      <c r="B17" s="4" t="s">
        <v>166</v>
      </c>
      <c r="C17" s="16" t="n">
        <v>4</v>
      </c>
      <c r="D17" s="4" t="s">
        <v>167</v>
      </c>
      <c r="E17" s="4" t="s">
        <v>189</v>
      </c>
      <c r="F17" s="4" t="s">
        <v>188</v>
      </c>
      <c r="G17" s="4" t="s">
        <v>149</v>
      </c>
    </row>
    <row r="18" customFormat="false" ht="60" hidden="false" customHeight="true" outlineLevel="0" collapsed="false">
      <c r="A18" s="7" t="s">
        <v>36</v>
      </c>
      <c r="B18" s="7" t="s">
        <v>170</v>
      </c>
      <c r="C18" s="17" t="n">
        <v>3</v>
      </c>
      <c r="D18" s="7" t="s">
        <v>171</v>
      </c>
      <c r="E18" s="7" t="s">
        <v>190</v>
      </c>
      <c r="F18" s="7" t="s">
        <v>188</v>
      </c>
      <c r="G18" s="7" t="s">
        <v>149</v>
      </c>
    </row>
    <row r="19" customFormat="false" ht="60" hidden="false" customHeight="true" outlineLevel="0" collapsed="false">
      <c r="A19" s="4" t="s">
        <v>40</v>
      </c>
      <c r="B19" s="4" t="s">
        <v>145</v>
      </c>
      <c r="C19" s="16" t="n">
        <v>4</v>
      </c>
      <c r="D19" s="4" t="s">
        <v>191</v>
      </c>
      <c r="E19" s="4" t="s">
        <v>192</v>
      </c>
      <c r="F19" s="4" t="s">
        <v>188</v>
      </c>
      <c r="G19" s="4" t="s">
        <v>149</v>
      </c>
    </row>
    <row r="20" customFormat="false" ht="60" hidden="false" customHeight="true" outlineLevel="0" collapsed="false">
      <c r="A20" s="7" t="s">
        <v>40</v>
      </c>
      <c r="B20" s="7" t="s">
        <v>150</v>
      </c>
      <c r="C20" s="17" t="n">
        <v>3</v>
      </c>
      <c r="D20" s="7" t="s">
        <v>193</v>
      </c>
      <c r="E20" s="7" t="s">
        <v>194</v>
      </c>
      <c r="F20" s="7" t="s">
        <v>195</v>
      </c>
      <c r="G20" s="7" t="s">
        <v>149</v>
      </c>
    </row>
    <row r="21" customFormat="false" ht="60" hidden="false" customHeight="true" outlineLevel="0" collapsed="false">
      <c r="A21" s="4" t="s">
        <v>40</v>
      </c>
      <c r="B21" s="4" t="s">
        <v>154</v>
      </c>
      <c r="C21" s="16" t="n">
        <v>3</v>
      </c>
      <c r="D21" s="4" t="s">
        <v>196</v>
      </c>
      <c r="E21" s="4" t="s">
        <v>197</v>
      </c>
      <c r="F21" s="4" t="s">
        <v>198</v>
      </c>
      <c r="G21" s="4" t="s">
        <v>149</v>
      </c>
    </row>
    <row r="22" customFormat="false" ht="60" hidden="false" customHeight="true" outlineLevel="0" collapsed="false">
      <c r="A22" s="7" t="s">
        <v>40</v>
      </c>
      <c r="B22" s="7" t="s">
        <v>158</v>
      </c>
      <c r="C22" s="17" t="n">
        <v>4</v>
      </c>
      <c r="D22" s="7" t="s">
        <v>199</v>
      </c>
      <c r="E22" s="7" t="s">
        <v>200</v>
      </c>
      <c r="F22" s="7" t="s">
        <v>188</v>
      </c>
      <c r="G22" s="7" t="s">
        <v>149</v>
      </c>
    </row>
    <row r="23" customFormat="false" ht="60" hidden="false" customHeight="true" outlineLevel="0" collapsed="false">
      <c r="A23" s="4" t="s">
        <v>40</v>
      </c>
      <c r="B23" s="4" t="s">
        <v>162</v>
      </c>
      <c r="C23" s="16" t="n">
        <v>4</v>
      </c>
      <c r="D23" s="4" t="s">
        <v>201</v>
      </c>
      <c r="E23" s="4" t="s">
        <v>202</v>
      </c>
      <c r="F23" s="4" t="s">
        <v>188</v>
      </c>
      <c r="G23" s="4" t="s">
        <v>149</v>
      </c>
    </row>
    <row r="24" customFormat="false" ht="60" hidden="false" customHeight="true" outlineLevel="0" collapsed="false">
      <c r="A24" s="7" t="s">
        <v>40</v>
      </c>
      <c r="B24" s="7" t="s">
        <v>166</v>
      </c>
      <c r="C24" s="17" t="n">
        <v>5</v>
      </c>
      <c r="D24" s="7" t="s">
        <v>167</v>
      </c>
      <c r="E24" s="7" t="s">
        <v>203</v>
      </c>
      <c r="F24" s="7" t="s">
        <v>188</v>
      </c>
      <c r="G24" s="7" t="s">
        <v>149</v>
      </c>
    </row>
    <row r="25" customFormat="false" ht="60" hidden="false" customHeight="true" outlineLevel="0" collapsed="false">
      <c r="A25" s="4" t="s">
        <v>40</v>
      </c>
      <c r="B25" s="4" t="s">
        <v>170</v>
      </c>
      <c r="C25" s="16" t="n">
        <v>3</v>
      </c>
      <c r="D25" s="4" t="s">
        <v>204</v>
      </c>
      <c r="E25" s="4" t="s">
        <v>205</v>
      </c>
      <c r="F25" s="4" t="s">
        <v>188</v>
      </c>
      <c r="G25" s="4" t="s">
        <v>149</v>
      </c>
    </row>
    <row r="26" customFormat="false" ht="60" hidden="false" customHeight="true" outlineLevel="0" collapsed="false">
      <c r="A26" s="7" t="s">
        <v>44</v>
      </c>
      <c r="B26" s="7" t="s">
        <v>145</v>
      </c>
      <c r="C26" s="17" t="n">
        <v>3</v>
      </c>
      <c r="D26" s="7" t="s">
        <v>206</v>
      </c>
      <c r="E26" s="7" t="s">
        <v>207</v>
      </c>
      <c r="F26" s="7" t="s">
        <v>188</v>
      </c>
      <c r="G26" s="7" t="s">
        <v>149</v>
      </c>
    </row>
    <row r="27" customFormat="false" ht="60" hidden="false" customHeight="true" outlineLevel="0" collapsed="false">
      <c r="A27" s="4" t="s">
        <v>44</v>
      </c>
      <c r="B27" s="4" t="s">
        <v>150</v>
      </c>
      <c r="C27" s="16" t="n">
        <v>3</v>
      </c>
      <c r="D27" s="4" t="s">
        <v>208</v>
      </c>
      <c r="E27" s="4" t="s">
        <v>209</v>
      </c>
      <c r="F27" s="4" t="s">
        <v>210</v>
      </c>
      <c r="G27" s="4" t="s">
        <v>149</v>
      </c>
    </row>
    <row r="28" customFormat="false" ht="60" hidden="false" customHeight="true" outlineLevel="0" collapsed="false">
      <c r="A28" s="7" t="s">
        <v>44</v>
      </c>
      <c r="B28" s="7" t="s">
        <v>154</v>
      </c>
      <c r="C28" s="17" t="n">
        <v>4</v>
      </c>
      <c r="D28" s="7" t="s">
        <v>211</v>
      </c>
      <c r="E28" s="7" t="s">
        <v>212</v>
      </c>
      <c r="F28" s="7" t="s">
        <v>213</v>
      </c>
      <c r="G28" s="7" t="s">
        <v>149</v>
      </c>
    </row>
    <row r="29" customFormat="false" ht="60" hidden="false" customHeight="true" outlineLevel="0" collapsed="false">
      <c r="A29" s="4" t="s">
        <v>44</v>
      </c>
      <c r="B29" s="4" t="s">
        <v>158</v>
      </c>
      <c r="C29" s="16" t="n">
        <v>4</v>
      </c>
      <c r="D29" s="4" t="s">
        <v>214</v>
      </c>
      <c r="E29" s="4" t="s">
        <v>215</v>
      </c>
      <c r="F29" s="4" t="s">
        <v>188</v>
      </c>
      <c r="G29" s="4" t="s">
        <v>149</v>
      </c>
    </row>
    <row r="30" customFormat="false" ht="60" hidden="false" customHeight="true" outlineLevel="0" collapsed="false">
      <c r="A30" s="7" t="s">
        <v>44</v>
      </c>
      <c r="B30" s="7" t="s">
        <v>162</v>
      </c>
      <c r="C30" s="17" t="n">
        <v>3</v>
      </c>
      <c r="D30" s="7" t="s">
        <v>188</v>
      </c>
      <c r="E30" s="7" t="s">
        <v>216</v>
      </c>
      <c r="F30" s="7" t="s">
        <v>188</v>
      </c>
      <c r="G30" s="7" t="s">
        <v>149</v>
      </c>
    </row>
    <row r="31" customFormat="false" ht="60" hidden="false" customHeight="true" outlineLevel="0" collapsed="false">
      <c r="A31" s="4" t="s">
        <v>44</v>
      </c>
      <c r="B31" s="4" t="s">
        <v>166</v>
      </c>
      <c r="C31" s="16" t="n">
        <v>4</v>
      </c>
      <c r="D31" s="4" t="s">
        <v>167</v>
      </c>
      <c r="E31" s="4" t="s">
        <v>217</v>
      </c>
      <c r="F31" s="4" t="s">
        <v>188</v>
      </c>
      <c r="G31" s="4" t="s">
        <v>149</v>
      </c>
    </row>
    <row r="32" customFormat="false" ht="60" hidden="false" customHeight="true" outlineLevel="0" collapsed="false">
      <c r="A32" s="7" t="s">
        <v>44</v>
      </c>
      <c r="B32" s="7" t="s">
        <v>170</v>
      </c>
      <c r="C32" s="17" t="n">
        <v>3</v>
      </c>
      <c r="D32" s="7" t="s">
        <v>171</v>
      </c>
      <c r="E32" s="7" t="s">
        <v>205</v>
      </c>
      <c r="F32" s="7" t="s">
        <v>188</v>
      </c>
      <c r="G32" s="7" t="s">
        <v>149</v>
      </c>
    </row>
    <row r="33" customFormat="false" ht="60" hidden="false" customHeight="true" outlineLevel="0" collapsed="false">
      <c r="A33" s="4" t="s">
        <v>48</v>
      </c>
      <c r="B33" s="4" t="s">
        <v>145</v>
      </c>
      <c r="C33" s="16" t="n">
        <v>3</v>
      </c>
      <c r="D33" s="4" t="s">
        <v>218</v>
      </c>
      <c r="E33" s="4" t="s">
        <v>219</v>
      </c>
      <c r="F33" s="4" t="s">
        <v>188</v>
      </c>
      <c r="G33" s="4" t="s">
        <v>149</v>
      </c>
    </row>
    <row r="34" customFormat="false" ht="60" hidden="false" customHeight="true" outlineLevel="0" collapsed="false">
      <c r="A34" s="7" t="s">
        <v>48</v>
      </c>
      <c r="B34" s="7" t="s">
        <v>150</v>
      </c>
      <c r="C34" s="17" t="n">
        <v>3</v>
      </c>
      <c r="D34" s="7" t="s">
        <v>220</v>
      </c>
      <c r="E34" s="7" t="s">
        <v>221</v>
      </c>
      <c r="F34" s="7" t="s">
        <v>222</v>
      </c>
      <c r="G34" s="7" t="s">
        <v>149</v>
      </c>
    </row>
    <row r="35" customFormat="false" ht="60" hidden="false" customHeight="true" outlineLevel="0" collapsed="false">
      <c r="A35" s="4" t="s">
        <v>48</v>
      </c>
      <c r="B35" s="4" t="s">
        <v>154</v>
      </c>
      <c r="C35" s="4" t="n">
        <v>4</v>
      </c>
      <c r="D35" s="4" t="s">
        <v>223</v>
      </c>
      <c r="E35" s="4" t="s">
        <v>224</v>
      </c>
      <c r="F35" s="4" t="s">
        <v>225</v>
      </c>
      <c r="G35" s="4" t="s">
        <v>149</v>
      </c>
    </row>
    <row r="36" customFormat="false" ht="60" hidden="false" customHeight="true" outlineLevel="0" collapsed="false">
      <c r="A36" s="7" t="s">
        <v>48</v>
      </c>
      <c r="B36" s="7" t="s">
        <v>158</v>
      </c>
      <c r="C36" s="7" t="n">
        <v>4</v>
      </c>
      <c r="D36" s="7" t="s">
        <v>226</v>
      </c>
      <c r="E36" s="7" t="s">
        <v>227</v>
      </c>
      <c r="F36" s="7" t="s">
        <v>188</v>
      </c>
      <c r="G36" s="7" t="s">
        <v>149</v>
      </c>
    </row>
    <row r="37" customFormat="false" ht="60" hidden="false" customHeight="true" outlineLevel="0" collapsed="false">
      <c r="A37" s="4" t="s">
        <v>48</v>
      </c>
      <c r="B37" s="4" t="s">
        <v>162</v>
      </c>
      <c r="C37" s="4" t="n">
        <v>3</v>
      </c>
      <c r="D37" s="4" t="s">
        <v>188</v>
      </c>
      <c r="E37" s="4" t="s">
        <v>228</v>
      </c>
      <c r="F37" s="4" t="s">
        <v>188</v>
      </c>
      <c r="G37" s="4" t="s">
        <v>149</v>
      </c>
    </row>
    <row r="38" customFormat="false" ht="60" hidden="false" customHeight="true" outlineLevel="0" collapsed="false">
      <c r="A38" s="7" t="s">
        <v>48</v>
      </c>
      <c r="B38" s="7" t="s">
        <v>166</v>
      </c>
      <c r="C38" s="7" t="n">
        <v>3</v>
      </c>
      <c r="D38" s="7" t="s">
        <v>167</v>
      </c>
      <c r="E38" s="7" t="s">
        <v>229</v>
      </c>
      <c r="F38" s="7" t="s">
        <v>188</v>
      </c>
      <c r="G38" s="7" t="s">
        <v>149</v>
      </c>
    </row>
    <row r="39" customFormat="false" ht="60" hidden="false" customHeight="true" outlineLevel="0" collapsed="false">
      <c r="A39" s="4" t="s">
        <v>48</v>
      </c>
      <c r="B39" s="4" t="s">
        <v>170</v>
      </c>
      <c r="C39" s="4" t="n">
        <v>3</v>
      </c>
      <c r="D39" s="4" t="s">
        <v>171</v>
      </c>
      <c r="E39" s="4" t="s">
        <v>205</v>
      </c>
      <c r="F39" s="4" t="s">
        <v>188</v>
      </c>
      <c r="G39" s="4" t="s">
        <v>149</v>
      </c>
    </row>
    <row r="40" customFormat="false" ht="60" hidden="false" customHeight="true" outlineLevel="0" collapsed="false">
      <c r="A40" s="7" t="s">
        <v>52</v>
      </c>
      <c r="B40" s="7" t="s">
        <v>145</v>
      </c>
      <c r="C40" s="7" t="n">
        <v>3</v>
      </c>
      <c r="D40" s="7" t="s">
        <v>230</v>
      </c>
      <c r="E40" s="7" t="s">
        <v>231</v>
      </c>
      <c r="F40" s="7" t="s">
        <v>188</v>
      </c>
      <c r="G40" s="7" t="s">
        <v>232</v>
      </c>
    </row>
    <row r="41" customFormat="false" ht="60" hidden="false" customHeight="true" outlineLevel="0" collapsed="false">
      <c r="A41" s="4" t="s">
        <v>52</v>
      </c>
      <c r="B41" s="4" t="s">
        <v>150</v>
      </c>
      <c r="C41" s="4" t="n">
        <v>2</v>
      </c>
      <c r="D41" s="4" t="s">
        <v>233</v>
      </c>
      <c r="E41" s="4" t="s">
        <v>234</v>
      </c>
      <c r="F41" s="4" t="s">
        <v>235</v>
      </c>
      <c r="G41" s="4" t="s">
        <v>232</v>
      </c>
    </row>
    <row r="42" customFormat="false" ht="60" hidden="false" customHeight="true" outlineLevel="0" collapsed="false">
      <c r="A42" s="7" t="s">
        <v>52</v>
      </c>
      <c r="B42" s="7" t="s">
        <v>154</v>
      </c>
      <c r="C42" s="7" t="n">
        <v>5</v>
      </c>
      <c r="D42" s="7" t="s">
        <v>236</v>
      </c>
      <c r="E42" s="7" t="s">
        <v>237</v>
      </c>
      <c r="F42" s="7" t="s">
        <v>188</v>
      </c>
      <c r="G42" s="7" t="s">
        <v>232</v>
      </c>
    </row>
    <row r="43" customFormat="false" ht="60" hidden="false" customHeight="true" outlineLevel="0" collapsed="false">
      <c r="A43" s="4" t="s">
        <v>52</v>
      </c>
      <c r="B43" s="4" t="s">
        <v>158</v>
      </c>
      <c r="C43" s="4" t="n">
        <v>4</v>
      </c>
      <c r="D43" s="4" t="s">
        <v>238</v>
      </c>
      <c r="E43" s="4" t="s">
        <v>239</v>
      </c>
      <c r="F43" s="4" t="s">
        <v>188</v>
      </c>
      <c r="G43" s="4" t="s">
        <v>232</v>
      </c>
    </row>
    <row r="44" customFormat="false" ht="60" hidden="false" customHeight="true" outlineLevel="0" collapsed="false">
      <c r="A44" s="7" t="s">
        <v>52</v>
      </c>
      <c r="B44" s="7" t="s">
        <v>162</v>
      </c>
      <c r="C44" s="7" t="n">
        <v>3</v>
      </c>
      <c r="D44" s="7" t="s">
        <v>188</v>
      </c>
      <c r="E44" s="7" t="s">
        <v>228</v>
      </c>
      <c r="F44" s="7" t="s">
        <v>188</v>
      </c>
      <c r="G44" s="7" t="s">
        <v>232</v>
      </c>
    </row>
    <row r="45" customFormat="false" ht="60" hidden="false" customHeight="true" outlineLevel="0" collapsed="false">
      <c r="A45" s="4" t="s">
        <v>52</v>
      </c>
      <c r="B45" s="4" t="s">
        <v>166</v>
      </c>
      <c r="C45" s="4" t="n">
        <v>4</v>
      </c>
      <c r="D45" s="4" t="s">
        <v>167</v>
      </c>
      <c r="E45" s="4" t="s">
        <v>240</v>
      </c>
      <c r="F45" s="4" t="s">
        <v>188</v>
      </c>
      <c r="G45" s="4" t="s">
        <v>232</v>
      </c>
    </row>
    <row r="46" customFormat="false" ht="60" hidden="false" customHeight="true" outlineLevel="0" collapsed="false">
      <c r="A46" s="7" t="s">
        <v>52</v>
      </c>
      <c r="B46" s="7" t="s">
        <v>170</v>
      </c>
      <c r="C46" s="7" t="n">
        <v>3</v>
      </c>
      <c r="D46" s="7" t="s">
        <v>171</v>
      </c>
      <c r="E46" s="7" t="s">
        <v>205</v>
      </c>
      <c r="F46" s="7" t="s">
        <v>188</v>
      </c>
      <c r="G46" s="7" t="s">
        <v>232</v>
      </c>
    </row>
    <row r="47" customFormat="false" ht="60" hidden="false" customHeight="true" outlineLevel="0" collapsed="false">
      <c r="A47" s="4" t="s">
        <v>56</v>
      </c>
      <c r="B47" s="4" t="s">
        <v>145</v>
      </c>
      <c r="C47" s="4" t="n">
        <v>3</v>
      </c>
      <c r="D47" s="4" t="s">
        <v>241</v>
      </c>
      <c r="E47" s="4" t="s">
        <v>242</v>
      </c>
      <c r="F47" s="4" t="s">
        <v>188</v>
      </c>
      <c r="G47" s="4" t="s">
        <v>232</v>
      </c>
    </row>
    <row r="48" customFormat="false" ht="60" hidden="false" customHeight="true" outlineLevel="0" collapsed="false">
      <c r="A48" s="7" t="s">
        <v>56</v>
      </c>
      <c r="B48" s="7" t="s">
        <v>150</v>
      </c>
      <c r="C48" s="7" t="n">
        <v>2</v>
      </c>
      <c r="D48" s="7" t="s">
        <v>243</v>
      </c>
      <c r="E48" s="7" t="s">
        <v>244</v>
      </c>
      <c r="F48" s="7" t="s">
        <v>188</v>
      </c>
      <c r="G48" s="7" t="s">
        <v>232</v>
      </c>
    </row>
    <row r="49" customFormat="false" ht="60" hidden="false" customHeight="true" outlineLevel="0" collapsed="false">
      <c r="A49" s="4" t="s">
        <v>56</v>
      </c>
      <c r="B49" s="4" t="s">
        <v>154</v>
      </c>
      <c r="C49" s="4" t="n">
        <v>5</v>
      </c>
      <c r="D49" s="4" t="s">
        <v>245</v>
      </c>
      <c r="E49" s="4" t="s">
        <v>237</v>
      </c>
      <c r="F49" s="4" t="s">
        <v>188</v>
      </c>
      <c r="G49" s="4" t="s">
        <v>232</v>
      </c>
    </row>
    <row r="50" customFormat="false" ht="60" hidden="false" customHeight="true" outlineLevel="0" collapsed="false">
      <c r="A50" s="7" t="s">
        <v>56</v>
      </c>
      <c r="B50" s="7" t="s">
        <v>158</v>
      </c>
      <c r="C50" s="7" t="n">
        <v>4</v>
      </c>
      <c r="D50" s="7" t="s">
        <v>246</v>
      </c>
      <c r="E50" s="7" t="s">
        <v>247</v>
      </c>
      <c r="F50" s="7" t="s">
        <v>188</v>
      </c>
      <c r="G50" s="7" t="s">
        <v>232</v>
      </c>
    </row>
    <row r="51" customFormat="false" ht="60" hidden="false" customHeight="true" outlineLevel="0" collapsed="false">
      <c r="A51" s="4" t="s">
        <v>56</v>
      </c>
      <c r="B51" s="4" t="s">
        <v>162</v>
      </c>
      <c r="C51" s="4" t="n">
        <v>3</v>
      </c>
      <c r="D51" s="4" t="s">
        <v>188</v>
      </c>
      <c r="E51" s="4" t="s">
        <v>228</v>
      </c>
      <c r="F51" s="4" t="s">
        <v>188</v>
      </c>
      <c r="G51" s="4" t="s">
        <v>232</v>
      </c>
    </row>
    <row r="52" customFormat="false" ht="60" hidden="false" customHeight="true" outlineLevel="0" collapsed="false">
      <c r="A52" s="7" t="s">
        <v>56</v>
      </c>
      <c r="B52" s="7" t="s">
        <v>166</v>
      </c>
      <c r="C52" s="7" t="n">
        <v>3</v>
      </c>
      <c r="D52" s="7" t="s">
        <v>167</v>
      </c>
      <c r="E52" s="7" t="s">
        <v>248</v>
      </c>
      <c r="F52" s="7" t="s">
        <v>188</v>
      </c>
      <c r="G52" s="7" t="s">
        <v>232</v>
      </c>
    </row>
    <row r="53" customFormat="false" ht="60" hidden="false" customHeight="true" outlineLevel="0" collapsed="false">
      <c r="A53" s="4" t="s">
        <v>56</v>
      </c>
      <c r="B53" s="4" t="s">
        <v>170</v>
      </c>
      <c r="C53" s="4" t="n">
        <v>3</v>
      </c>
      <c r="D53" s="4" t="s">
        <v>171</v>
      </c>
      <c r="E53" s="4" t="s">
        <v>205</v>
      </c>
      <c r="F53" s="4" t="s">
        <v>188</v>
      </c>
      <c r="G53" s="4" t="s">
        <v>232</v>
      </c>
    </row>
    <row r="54" customFormat="false" ht="60" hidden="false" customHeight="true" outlineLevel="0" collapsed="false">
      <c r="A54" s="7" t="s">
        <v>60</v>
      </c>
      <c r="B54" s="7" t="s">
        <v>145</v>
      </c>
      <c r="C54" s="7" t="n">
        <v>3</v>
      </c>
      <c r="D54" s="7" t="s">
        <v>249</v>
      </c>
      <c r="E54" s="7" t="s">
        <v>250</v>
      </c>
      <c r="F54" s="7" t="s">
        <v>188</v>
      </c>
      <c r="G54" s="7" t="s">
        <v>232</v>
      </c>
    </row>
    <row r="55" customFormat="false" ht="60" hidden="false" customHeight="true" outlineLevel="0" collapsed="false">
      <c r="A55" s="4" t="s">
        <v>60</v>
      </c>
      <c r="B55" s="4" t="s">
        <v>150</v>
      </c>
      <c r="C55" s="4" t="n">
        <v>2</v>
      </c>
      <c r="D55" s="4" t="s">
        <v>251</v>
      </c>
      <c r="E55" s="4" t="s">
        <v>252</v>
      </c>
      <c r="F55" s="4" t="s">
        <v>188</v>
      </c>
      <c r="G55" s="4" t="s">
        <v>232</v>
      </c>
    </row>
    <row r="56" customFormat="false" ht="60" hidden="false" customHeight="true" outlineLevel="0" collapsed="false">
      <c r="A56" s="7" t="s">
        <v>60</v>
      </c>
      <c r="B56" s="7" t="s">
        <v>154</v>
      </c>
      <c r="C56" s="7" t="n">
        <v>5</v>
      </c>
      <c r="D56" s="7" t="s">
        <v>253</v>
      </c>
      <c r="E56" s="7" t="s">
        <v>237</v>
      </c>
      <c r="F56" s="7" t="s">
        <v>188</v>
      </c>
      <c r="G56" s="7" t="s">
        <v>232</v>
      </c>
    </row>
    <row r="57" customFormat="false" ht="60" hidden="false" customHeight="true" outlineLevel="0" collapsed="false">
      <c r="A57" s="4" t="s">
        <v>60</v>
      </c>
      <c r="B57" s="4" t="s">
        <v>158</v>
      </c>
      <c r="C57" s="4" t="n">
        <v>4</v>
      </c>
      <c r="D57" s="4" t="s">
        <v>254</v>
      </c>
      <c r="E57" s="4" t="s">
        <v>247</v>
      </c>
      <c r="F57" s="4" t="s">
        <v>188</v>
      </c>
      <c r="G57" s="4" t="s">
        <v>232</v>
      </c>
    </row>
    <row r="58" customFormat="false" ht="60" hidden="false" customHeight="true" outlineLevel="0" collapsed="false">
      <c r="A58" s="7" t="s">
        <v>60</v>
      </c>
      <c r="B58" s="7" t="s">
        <v>162</v>
      </c>
      <c r="C58" s="7" t="n">
        <v>3</v>
      </c>
      <c r="D58" s="7" t="s">
        <v>188</v>
      </c>
      <c r="E58" s="7" t="s">
        <v>228</v>
      </c>
      <c r="F58" s="7" t="s">
        <v>188</v>
      </c>
      <c r="G58" s="7" t="s">
        <v>232</v>
      </c>
    </row>
    <row r="59" customFormat="false" ht="60" hidden="false" customHeight="true" outlineLevel="0" collapsed="false">
      <c r="A59" s="4" t="s">
        <v>60</v>
      </c>
      <c r="B59" s="4" t="s">
        <v>166</v>
      </c>
      <c r="C59" s="4" t="n">
        <v>3</v>
      </c>
      <c r="D59" s="4" t="s">
        <v>167</v>
      </c>
      <c r="E59" s="4" t="s">
        <v>255</v>
      </c>
      <c r="F59" s="4" t="s">
        <v>188</v>
      </c>
      <c r="G59" s="4" t="s">
        <v>232</v>
      </c>
    </row>
    <row r="60" customFormat="false" ht="60" hidden="false" customHeight="true" outlineLevel="0" collapsed="false">
      <c r="A60" s="7" t="s">
        <v>60</v>
      </c>
      <c r="B60" s="7" t="s">
        <v>170</v>
      </c>
      <c r="C60" s="7" t="n">
        <v>3</v>
      </c>
      <c r="D60" s="7" t="s">
        <v>171</v>
      </c>
      <c r="E60" s="7" t="s">
        <v>205</v>
      </c>
      <c r="F60" s="7" t="s">
        <v>188</v>
      </c>
      <c r="G60" s="7" t="s">
        <v>232</v>
      </c>
    </row>
    <row r="61" customFormat="false" ht="60" hidden="false" customHeight="true" outlineLevel="0" collapsed="false">
      <c r="A61" s="4" t="s">
        <v>63</v>
      </c>
      <c r="B61" s="4" t="s">
        <v>145</v>
      </c>
      <c r="C61" s="4" t="n">
        <v>3</v>
      </c>
      <c r="D61" s="4" t="s">
        <v>256</v>
      </c>
      <c r="E61" s="4" t="s">
        <v>257</v>
      </c>
      <c r="F61" s="4" t="s">
        <v>188</v>
      </c>
      <c r="G61" s="4" t="s">
        <v>232</v>
      </c>
    </row>
    <row r="62" customFormat="false" ht="60" hidden="false" customHeight="true" outlineLevel="0" collapsed="false">
      <c r="A62" s="7" t="s">
        <v>63</v>
      </c>
      <c r="B62" s="7" t="s">
        <v>150</v>
      </c>
      <c r="C62" s="7" t="s">
        <v>258</v>
      </c>
      <c r="D62" s="7" t="s">
        <v>259</v>
      </c>
      <c r="E62" s="7" t="s">
        <v>260</v>
      </c>
      <c r="F62" s="7" t="s">
        <v>261</v>
      </c>
      <c r="G62" s="7" t="s">
        <v>232</v>
      </c>
    </row>
    <row r="63" customFormat="false" ht="60" hidden="false" customHeight="true" outlineLevel="0" collapsed="false">
      <c r="A63" s="4" t="s">
        <v>63</v>
      </c>
      <c r="B63" s="4" t="s">
        <v>154</v>
      </c>
      <c r="C63" s="4" t="n">
        <v>3</v>
      </c>
      <c r="D63" s="4" t="s">
        <v>262</v>
      </c>
      <c r="E63" s="4" t="s">
        <v>263</v>
      </c>
      <c r="F63" s="4" t="s">
        <v>188</v>
      </c>
      <c r="G63" s="4" t="s">
        <v>232</v>
      </c>
    </row>
    <row r="64" customFormat="false" ht="60" hidden="false" customHeight="true" outlineLevel="0" collapsed="false">
      <c r="A64" s="7" t="s">
        <v>63</v>
      </c>
      <c r="B64" s="7" t="s">
        <v>158</v>
      </c>
      <c r="C64" s="7" t="n">
        <v>3</v>
      </c>
      <c r="D64" s="7" t="s">
        <v>264</v>
      </c>
      <c r="E64" s="7" t="s">
        <v>205</v>
      </c>
      <c r="F64" s="7" t="s">
        <v>188</v>
      </c>
      <c r="G64" s="7" t="s">
        <v>232</v>
      </c>
    </row>
    <row r="65" customFormat="false" ht="60" hidden="false" customHeight="true" outlineLevel="0" collapsed="false">
      <c r="A65" s="4" t="s">
        <v>63</v>
      </c>
      <c r="B65" s="4" t="s">
        <v>162</v>
      </c>
      <c r="C65" s="4" t="n">
        <v>3</v>
      </c>
      <c r="D65" s="4" t="s">
        <v>188</v>
      </c>
      <c r="E65" s="4" t="s">
        <v>228</v>
      </c>
      <c r="F65" s="4" t="s">
        <v>188</v>
      </c>
      <c r="G65" s="4" t="s">
        <v>232</v>
      </c>
    </row>
    <row r="66" customFormat="false" ht="60" hidden="false" customHeight="true" outlineLevel="0" collapsed="false">
      <c r="A66" s="7" t="s">
        <v>63</v>
      </c>
      <c r="B66" s="7" t="s">
        <v>166</v>
      </c>
      <c r="C66" s="7" t="n">
        <v>3</v>
      </c>
      <c r="D66" s="7" t="s">
        <v>167</v>
      </c>
      <c r="E66" s="7" t="s">
        <v>265</v>
      </c>
      <c r="F66" s="7" t="s">
        <v>188</v>
      </c>
      <c r="G66" s="7" t="s">
        <v>232</v>
      </c>
    </row>
    <row r="67" customFormat="false" ht="60" hidden="false" customHeight="true" outlineLevel="0" collapsed="false">
      <c r="A67" s="4" t="s">
        <v>63</v>
      </c>
      <c r="B67" s="4" t="s">
        <v>170</v>
      </c>
      <c r="C67" s="4" t="n">
        <v>2</v>
      </c>
      <c r="D67" s="4" t="s">
        <v>266</v>
      </c>
      <c r="E67" s="4" t="s">
        <v>267</v>
      </c>
      <c r="F67" s="4" t="s">
        <v>188</v>
      </c>
      <c r="G67" s="4" t="s">
        <v>232</v>
      </c>
    </row>
  </sheetData>
  <autoFilter ref="A4:G34"/>
  <mergeCells count="2">
    <mergeCell ref="A1:G1"/>
    <mergeCell ref="A2:G2"/>
  </mergeCells>
  <dataValidations count="1">
    <dataValidation allowBlank="true" error="Choose a score from 1–5 or NE." errorStyle="stop" errorTitle="Invalid score" operator="between" showDropDown="false" showErrorMessage="false" showInputMessage="false" sqref="C5:C34" type="list">
      <formula1>"1,2,3,4,5,NE"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2026-10-20T20:06:08Z</dcterms:created>
  <dc:creator>openpyxl</dc:creator>
  <dc:description/>
  <dc:language>en-US</dc:language>
  <cp:lastModifiedBy/>
  <dcterms:modified xsi:type="dcterms:W3CDTF">2026-10-20T20:32:42Z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